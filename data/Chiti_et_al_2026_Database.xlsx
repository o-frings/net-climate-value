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fiint.sharepoint.com/sites/carbonfarming/Jaetut asiakirjat/General/"/>
    </mc:Choice>
  </mc:AlternateContent>
  <xr:revisionPtr revIDLastSave="4634" documentId="13_ncr:1_{70D4F1FF-B141-234F-95DF-B229B7B45C66}" xr6:coauthVersionLast="47" xr6:coauthVersionMax="47" xr10:uidLastSave="{46573DD9-F9DF-409E-8C50-954C32D6DE7B}"/>
  <bookViews>
    <workbookView xWindow="-31380" yWindow="-340" windowWidth="30420" windowHeight="18720" firstSheet="2" activeTab="1" xr2:uid="{0DFCC10B-87AB-994E-A644-4FFF888B430C}"/>
  </bookViews>
  <sheets>
    <sheet name="Mediterranean" sheetId="9" r:id="rId1"/>
    <sheet name="Temperate" sheetId="8" r:id="rId2"/>
    <sheet name="Boreal" sheetId="2" r:id="rId3"/>
  </sheets>
  <definedNames>
    <definedName name="_xlnm._FilterDatabase" localSheetId="2" hidden="1">Boreal!$A$3:$AL$3</definedName>
    <definedName name="_xlnm._FilterDatabase" localSheetId="1" hidden="1">Temperate!$A$3:$AM$3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4" i="8" l="1"/>
  <c r="AA93" i="8"/>
  <c r="Z130" i="9"/>
  <c r="Z129" i="9"/>
  <c r="Z128" i="9"/>
  <c r="Z127" i="9"/>
  <c r="Z126" i="9"/>
  <c r="Z125" i="9"/>
  <c r="Z124" i="9"/>
  <c r="Z123" i="9"/>
  <c r="Z157" i="9"/>
  <c r="Z133" i="9"/>
  <c r="Z156" i="9"/>
  <c r="Z155" i="9"/>
  <c r="Z154" i="9"/>
  <c r="AA40" i="2"/>
  <c r="AA42" i="2"/>
  <c r="AA4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Z82" i="9"/>
  <c r="Y108" i="2"/>
  <c r="Y107" i="2"/>
  <c r="Y106" i="2"/>
  <c r="Y105" i="2"/>
  <c r="Y104" i="2"/>
  <c r="Y103" i="2"/>
  <c r="Y102" i="2"/>
  <c r="Y101" i="2"/>
  <c r="Z93" i="2"/>
  <c r="Z92" i="2"/>
  <c r="Z91" i="2"/>
  <c r="Z90" i="2"/>
  <c r="Z89" i="2"/>
  <c r="Z88" i="2"/>
  <c r="Y85" i="2"/>
  <c r="Y84" i="2"/>
  <c r="Z74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W122" i="9"/>
  <c r="Y122" i="9" s="1"/>
  <c r="W121" i="9"/>
  <c r="Y121" i="9" s="1"/>
  <c r="W120" i="9"/>
  <c r="Y120" i="9" s="1"/>
  <c r="W119" i="9"/>
  <c r="Y119" i="9" s="1"/>
  <c r="W118" i="9"/>
  <c r="Y118" i="9" s="1"/>
  <c r="W117" i="9"/>
  <c r="Y117" i="9" s="1"/>
  <c r="W116" i="9"/>
  <c r="Y116" i="9" s="1"/>
  <c r="W115" i="9"/>
  <c r="Y115" i="9" s="1"/>
  <c r="W114" i="9"/>
  <c r="Y114" i="9" s="1"/>
  <c r="W113" i="9"/>
  <c r="Y113" i="9" s="1"/>
  <c r="W112" i="9"/>
  <c r="Y112" i="9" s="1"/>
  <c r="W111" i="9"/>
  <c r="Y111" i="9" s="1"/>
  <c r="W110" i="9"/>
  <c r="Y110" i="9" s="1"/>
  <c r="W109" i="9"/>
  <c r="Y109" i="9" s="1"/>
  <c r="W108" i="9"/>
  <c r="Y108" i="9" s="1"/>
  <c r="W107" i="9"/>
  <c r="Y107" i="9" s="1"/>
  <c r="W106" i="9"/>
  <c r="Y106" i="9" s="1"/>
  <c r="W105" i="9"/>
  <c r="Y105" i="9" s="1"/>
  <c r="W104" i="9"/>
  <c r="Y104" i="9" s="1"/>
  <c r="W103" i="9"/>
  <c r="Y103" i="9" s="1"/>
  <c r="W102" i="9"/>
  <c r="Y102" i="9" s="1"/>
  <c r="W101" i="9"/>
  <c r="Y101" i="9" s="1"/>
  <c r="W100" i="9"/>
  <c r="Y100" i="9" s="1"/>
  <c r="W99" i="9"/>
  <c r="Y99" i="9" s="1"/>
  <c r="W98" i="9"/>
  <c r="Y98" i="9" s="1"/>
  <c r="W97" i="9"/>
  <c r="Y97" i="9" s="1"/>
  <c r="W96" i="9"/>
  <c r="Y96" i="9" s="1"/>
  <c r="W95" i="9"/>
  <c r="Y95" i="9" s="1"/>
  <c r="W94" i="9"/>
  <c r="Y94" i="9" s="1"/>
  <c r="W93" i="9"/>
  <c r="Y93" i="9" s="1"/>
  <c r="W92" i="9"/>
  <c r="Y92" i="9" s="1"/>
  <c r="W91" i="9"/>
  <c r="Y91" i="9" s="1"/>
  <c r="W90" i="9"/>
  <c r="Y90" i="9" s="1"/>
  <c r="W89" i="9"/>
  <c r="Y89" i="9" s="1"/>
  <c r="W88" i="9"/>
  <c r="Y88" i="9" s="1"/>
  <c r="W87" i="9"/>
  <c r="Y87" i="9" s="1"/>
  <c r="W86" i="9"/>
  <c r="Y86" i="9" s="1"/>
  <c r="W85" i="9"/>
  <c r="Y85" i="9" s="1"/>
  <c r="W84" i="9"/>
  <c r="Y84" i="9" s="1"/>
  <c r="Z58" i="9"/>
  <c r="Z59" i="9"/>
  <c r="Z144" i="9"/>
  <c r="Z143" i="9"/>
  <c r="Z142" i="9"/>
  <c r="Z141" i="9"/>
  <c r="Z140" i="9"/>
  <c r="Z139" i="9"/>
  <c r="Z138" i="9"/>
  <c r="Z137" i="9"/>
  <c r="Z136" i="9"/>
  <c r="Z135" i="9"/>
  <c r="Z134" i="9"/>
  <c r="Y139" i="9"/>
  <c r="Y138" i="9"/>
  <c r="Y137" i="9"/>
  <c r="Y136" i="9"/>
  <c r="Y135" i="9"/>
  <c r="Y13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REY</author>
    <author>tommaso.chiti</author>
    <author>tc={F2E6CDD7-2773-4D4E-9BBD-9CC34C82083E}</author>
    <author>tc={DE7BEE48-FED4-43B1-BA14-449A53F15107}</author>
    <author>tc={BB29A4FE-CC54-4C9C-91C5-61070705F6DF}</author>
    <author>tc={C506A538-ADE8-441D-A6F4-4B8973C7F93A}</author>
  </authors>
  <commentList>
    <comment ref="C3" authorId="0" shapeId="0" xr:uid="{9A6AA130-929F-2542-9AB3-E97DC82737A4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All studies will be numbered for ID
</t>
        </r>
      </text>
    </comment>
    <comment ref="D3" authorId="0" shapeId="0" xr:uid="{5A940848-6084-5B4C-84DE-F4FFBC859BBD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case one study presents more than one site
</t>
        </r>
      </text>
    </comment>
    <comment ref="E3" authorId="0" shapeId="0" xr:uid="{488120BA-8C32-1541-9B83-EED870CCAFAB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Authors of the study
</t>
        </r>
      </text>
    </comment>
    <comment ref="S3" authorId="1" shapeId="0" xr:uid="{463E4149-EF5A-E846-BDB4-9EB001614D0D}">
      <text>
        <r>
          <rPr>
            <b/>
            <sz val="10"/>
            <color rgb="FF000000"/>
            <rFont val="Tahoma"/>
            <family val="2"/>
          </rPr>
          <t>tommaso.chiti: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Number of replicates</t>
        </r>
      </text>
    </comment>
    <comment ref="AA3" authorId="2" shapeId="0" xr:uid="{F2E6CDD7-2773-4D4E-9BBD-9CC34C820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depth for the SOC sequestration rate</t>
      </text>
    </comment>
    <comment ref="C80" authorId="0" shapeId="0" xr:uid="{EF830AB3-4A2B-4527-875F-BBA72BB1836F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All studies will be numbered for ID
</t>
        </r>
      </text>
    </comment>
    <comment ref="D80" authorId="0" shapeId="0" xr:uid="{B8998F62-6A38-4B46-9843-C9DD71FCAA61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case one study presents more than one site
</t>
        </r>
      </text>
    </comment>
    <comment ref="E80" authorId="0" shapeId="0" xr:uid="{0075B083-C4B2-4C15-AD6A-3F9063C1FA84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Authors of the study
</t>
        </r>
      </text>
    </comment>
    <comment ref="S80" authorId="1" shapeId="0" xr:uid="{2DAFFE9F-4BB4-403B-A82F-2A45C1469D28}">
      <text>
        <r>
          <rPr>
            <b/>
            <sz val="10"/>
            <color rgb="FF000000"/>
            <rFont val="Tahoma"/>
            <family val="2"/>
          </rPr>
          <t>tommaso.chiti: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Number of replicates</t>
        </r>
      </text>
    </comment>
    <comment ref="AA80" authorId="3" shapeId="0" xr:uid="{DE7BEE48-FED4-43B1-BA14-449A53F151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depth for the SOC sequestration rate</t>
      </text>
    </comment>
    <comment ref="C132" authorId="0" shapeId="0" xr:uid="{F9BB9606-1B49-4446-9ACF-8ED6A5C746FB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All studies will be numbered for ID
</t>
        </r>
      </text>
    </comment>
    <comment ref="D132" authorId="0" shapeId="0" xr:uid="{2C73939F-25DE-4B4B-AA49-A8E62E5C7B7D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case one study presents more than one site
</t>
        </r>
      </text>
    </comment>
    <comment ref="E132" authorId="0" shapeId="0" xr:uid="{427DBD5E-9BD7-4DAC-B67C-F3ECFD550B97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Authors of the study
</t>
        </r>
      </text>
    </comment>
    <comment ref="S132" authorId="1" shapeId="0" xr:uid="{9F9B7733-1EED-4118-9251-C0F60CBF4797}">
      <text>
        <r>
          <rPr>
            <b/>
            <sz val="10"/>
            <color rgb="FF000000"/>
            <rFont val="Tahoma"/>
            <family val="2"/>
          </rPr>
          <t>tommaso.chiti: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Number of replicates</t>
        </r>
      </text>
    </comment>
    <comment ref="AA132" authorId="4" shapeId="0" xr:uid="{BB29A4FE-CC54-4C9C-91C5-61070705F6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depth for the SOC sequestration rate</t>
      </text>
    </comment>
    <comment ref="C182" authorId="0" shapeId="0" xr:uid="{B7F1C86A-79BF-42F8-9790-B1C758D1E971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All studies will be numbered for ID
</t>
        </r>
      </text>
    </comment>
    <comment ref="D182" authorId="0" shapeId="0" xr:uid="{71B0DFF2-1CFC-4DBD-9239-2B8509C14D31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case one study presents more than one site
</t>
        </r>
      </text>
    </comment>
    <comment ref="E182" authorId="0" shapeId="0" xr:uid="{CE964808-060F-4FD2-A7EC-F36A029FFC6E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Authors of the study
</t>
        </r>
      </text>
    </comment>
    <comment ref="S182" authorId="1" shapeId="0" xr:uid="{CD62B2AD-BF2E-418A-9E2E-F3F5224A9A07}">
      <text>
        <r>
          <rPr>
            <b/>
            <sz val="10"/>
            <color rgb="FF000000"/>
            <rFont val="Tahoma"/>
            <family val="2"/>
          </rPr>
          <t>tommaso.chiti: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Number of replicates</t>
        </r>
      </text>
    </comment>
    <comment ref="AA182" authorId="5" shapeId="0" xr:uid="{C506A538-ADE8-441D-A6F4-4B8973C7F9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depth for the SOC sequestration rate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REY</author>
    <author>tommaso.chiti</author>
    <author>tc={73731CB5-25E7-4372-BE48-A1EE4A3B2231}</author>
    <author>tc={DF1366DE-CC88-4BE6-91FF-7912EB3B2EE8}</author>
    <author>tc={C201FFB7-1E77-4F06-8B36-C1DEC73F690C}</author>
    <author>tc={D9987C79-6BD4-4F97-B871-3764A240F634}</author>
    <author>tc={7E9FECC1-41CF-4D12-A278-9836A9913846}</author>
    <author>tc={F0DADEA0-1888-4726-B7D3-9EA2FBEA2972}</author>
    <author>tc={BA5C0B32-7902-4ACA-9373-D9D2A5A71681}</author>
    <author>tc={10273A64-9B97-47B0-8586-B23DD245750F}</author>
    <author>tc={4EC5F0F7-B711-4C40-AC55-0A96A74AC1E2}</author>
    <author>tc={AD6EBF84-B1C6-4147-85E5-3172E6E408F1}</author>
    <author>tc={584CA163-EF97-4155-B038-BCA9F753F699}</author>
    <author>tc={6BA683EE-47A1-4742-9F80-533308D19BF5}</author>
    <author>tc={9AB44A36-6A1C-4F7F-8538-7A3573CF3B5B}</author>
    <author>tc={17A8311E-07AA-49DD-A704-A7B05A150AD7}</author>
    <author>tc={76F1163D-76EA-495B-BF94-24D56B774272}</author>
    <author>tc={BB8D1C86-BEB5-477D-865A-4975ACF8CFD5}</author>
    <author>tc={78D8AC50-01A0-4F37-91E7-AB9228AC0E54}</author>
    <author>tc={DEBD0E78-604F-416B-898E-BF72DBB0452C}</author>
    <author>tc={7F2D0736-91DD-4F6F-A2E2-5B295901291C}</author>
    <author>tc={2F0B1390-ECB9-4B1F-AB38-57562FDF6DF6}</author>
    <author>tc={8F70A7A1-C03D-44B1-A972-352945B1FEA2}</author>
    <author>tc={B9941520-B9A0-4149-8670-D08E831C38D3}</author>
    <author>tc={AFE7DBB1-8BF8-42AE-AF7D-7D694730F986}</author>
    <author>tc={6B6C92F7-0313-4423-8621-662527B8BF62}</author>
    <author>tc={96888FF8-E68F-4FA4-8C16-A72C7D46D8D1}</author>
    <author>tc={9F759C78-104D-4E1E-A79D-A1DEADBBD8C1}</author>
    <author>tc={9F16B6D6-CFB2-4027-8FB5-402C4AE3C8B6}</author>
  </authors>
  <commentList>
    <comment ref="C3" authorId="0" shapeId="0" xr:uid="{9AFC0AA4-67EB-8642-A4DC-CB811D2F519D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All studies will be numbered for ID
</t>
        </r>
      </text>
    </comment>
    <comment ref="D3" authorId="0" shapeId="0" xr:uid="{59C76F36-39DF-EE47-ABE9-1680A260836C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case one study presents more than one site
</t>
        </r>
      </text>
    </comment>
    <comment ref="E3" authorId="0" shapeId="0" xr:uid="{F693357A-8854-064F-9B21-FAC0ABDBE265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Authors of the study
</t>
        </r>
      </text>
    </comment>
    <comment ref="S3" authorId="1" shapeId="0" xr:uid="{D779B17C-1F3A-8649-91AD-A6EDF0EA87A6}">
      <text>
        <r>
          <rPr>
            <b/>
            <sz val="10"/>
            <color rgb="FF000000"/>
            <rFont val="Tahoma"/>
            <family val="2"/>
          </rPr>
          <t>tommaso.chiti: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Number of replicates</t>
        </r>
      </text>
    </comment>
    <comment ref="AA3" authorId="2" shapeId="0" xr:uid="{73731CB5-25E7-4372-BE48-A1EE4A3B22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depth for the SOC sequestration rate</t>
      </text>
    </comment>
    <comment ref="Y60" authorId="3" shapeId="0" xr:uid="{DF1366DE-CC88-4BE6-91FF-7912EB3B2EE8}">
      <text>
        <t>[Threaded comment]
Your version of Excel allows you to read this threaded comment; however, any edits to it will get removed if the file is opened in a newer version of Excel. Learn more: https://go.microsoft.com/fwlink/?linkid=870924
Comment:
    1m3/ha/yr more sanitary fellings compred to Plenterwald</t>
      </text>
    </comment>
    <comment ref="S62" authorId="4" shapeId="0" xr:uid="{C201FFB7-1E77-4F06-8B36-C1DEC73F690C}">
      <text>
        <t>[Threaded comment]
Your version of Excel allows you to read this threaded comment; however, any edits to it will get removed if the file is opened in a newer version of Excel. Learn more: https://go.microsoft.com/fwlink/?linkid=870924
Comment:
    random selection of 2045 cells/vertices based on the 1x1 km grid</t>
      </text>
    </comment>
    <comment ref="Y62" authorId="5" shapeId="0" xr:uid="{D9987C79-6BD4-4F97-B871-3764A240F634}">
      <text>
        <t>[Threaded comment]
Your version of Excel allows you to read this threaded comment; however, any edits to it will get removed if the file is opened in a newer version of Excel. Learn more: https://go.microsoft.com/fwlink/?linkid=870924
Comment:
    -0,17 m3/ha/year</t>
      </text>
    </comment>
    <comment ref="S63" authorId="6" shapeId="0" xr:uid="{7E9FECC1-41CF-4D12-A278-9836A9913846}">
      <text>
        <t>[Threaded comment]
Your version of Excel allows you to read this threaded comment; however, any edits to it will get removed if the file is opened in a newer version of Excel. Learn more: https://go.microsoft.com/fwlink/?linkid=870924
Comment:
    random selection of 2045 cells/vertices based on the 1x1 km grid</t>
      </text>
    </comment>
    <comment ref="Y63" authorId="7" shapeId="0" xr:uid="{F0DADEA0-1888-4726-B7D3-9EA2FBEA2972}">
      <text>
        <t>[Threaded comment]
Your version of Excel allows you to read this threaded comment; however, any edits to it will get removed if the file is opened in a newer version of Excel. Learn more: https://go.microsoft.com/fwlink/?linkid=870924
Comment:
    -0,17 m3/ha/year</t>
      </text>
    </comment>
    <comment ref="Y64" authorId="8" shapeId="0" xr:uid="{BA5C0B32-7902-4ACA-9373-D9D2A5A71681}">
      <text>
        <t>[Threaded comment]
Your version of Excel allows you to read this threaded comment; however, any edits to it will get removed if the file is opened in a newer version of Excel. Learn more: https://go.microsoft.com/fwlink/?linkid=870924
Comment:
    -0,17 m3/ha/year</t>
      </text>
    </comment>
    <comment ref="Y66" authorId="9" shapeId="0" xr:uid="{10273A64-9B97-47B0-8586-B23DD245750F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globally average deviation biomass carrying capacity and observed biomass is 0.3 Mg biomass/ha or 15% over current levels</t>
      </text>
    </comment>
    <comment ref="W73" authorId="10" shapeId="0" xr:uid="{4EC5F0F7-B711-4C40-AC55-0A96A74AC1E2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monospecific stands over the production cycle</t>
      </text>
    </comment>
    <comment ref="X75" authorId="11" shapeId="0" xr:uid="{AD6EBF84-B1C6-4147-85E5-3172E6E408F1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F layer for clear-cutting and thinning aparent for &gt; 20 years (much less in deeper horizons)</t>
      </text>
    </comment>
    <comment ref="X76" authorId="12" shapeId="0" xr:uid="{584CA163-EF97-4155-B038-BCA9F753F699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F layer</t>
      </text>
    </comment>
    <comment ref="X79" authorId="13" shapeId="0" xr:uid="{6BA683EE-47A1-4742-9F80-533308D19BF5}">
      <text>
        <t>[Threaded comment]
Your version of Excel allows you to read this threaded comment; however, any edits to it will get removed if the file is opened in a newer version of Excel. Learn more: https://go.microsoft.com/fwlink/?linkid=870924
Comment:
    SOC sequestration rate declines with stand age and is higher in uneven-aged stands, thus potential of forest management</t>
      </text>
    </comment>
    <comment ref="W82" authorId="14" shapeId="0" xr:uid="{9AB44A36-6A1C-4F7F-8538-7A3573CF3B5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Tg C relative to reference management</t>
      </text>
    </comment>
    <comment ref="Y86" authorId="15" shapeId="0" xr:uid="{17A8311E-07AA-49DD-A704-A7B05A150AD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decrease due to disturbances by wind, bark beetles and forest fires</t>
      </text>
    </comment>
    <comment ref="Z90" authorId="16" shapeId="0" xr:uid="{76F1163D-76EA-495B-BF94-24D56B774272}">
      <text>
        <t>[Threaded comment]
Your version of Excel allows you to read this threaded comment; however, any edits to it will get removed if the file is opened in a newer version of Excel. Learn more: https://go.microsoft.com/fwlink/?linkid=870924
Comment:
    - 0.1 CBM model and -0.3 Yasso15</t>
      </text>
    </comment>
    <comment ref="Y92" authorId="17" shapeId="0" xr:uid="{BB8D1C86-BEB5-477D-865A-4975ACF8CFD5}">
      <text>
        <t>[Threaded comment]
Your version of Excel allows you to read this threaded comment; however, any edits to it will get removed if the file is opened in a newer version of Excel. Learn more: https://go.microsoft.com/fwlink/?linkid=870924
Comment:
    carbon stock changes in the
forest pools plus + HWP (138 M ha)</t>
      </text>
    </comment>
    <comment ref="W103" authorId="18" shapeId="0" xr:uid="{78D8AC50-01A0-4F37-91E7-AB9228AC0E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Increase with stand age by 3.6% per year </t>
      </text>
    </comment>
    <comment ref="W104" authorId="19" shapeId="0" xr:uid="{DEBD0E78-604F-416B-898E-BF72DBB0452C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benefit of inorganic fertilizers on aboveground carbon significantly decline through time and fertilized stands were net emitters when accounted for in-field and upstream fertilizer emissions</t>
      </text>
    </comment>
    <comment ref="W114" authorId="20" shapeId="0" xr:uid="{7F2D0736-91DD-4F6F-A2E2-5B29590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= t C/ha</t>
      </text>
    </comment>
    <comment ref="AA114" authorId="21" shapeId="0" xr:uid="{2F0B1390-ECB9-4B1F-AB38-57562FDF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autotrophic carbon sequestration
decreases with forest development, and the decrease is faster with warming and in unthinned forests / the combined impacts of climate change and changing CO2 concentrations lead the forests to
grow faster, mature earlier, and also die younger</t>
      </text>
    </comment>
    <comment ref="W128" authorId="22" shapeId="0" xr:uid="{8F70A7A1-C03D-44B1-A972-352945B1FE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compared to BAU</t>
      </text>
    </comment>
    <comment ref="W130" authorId="23" shapeId="0" xr:uid="{B9941520-B9A0-4149-8670-D08E831C38D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every additional year since the treatment, the effect size of thinning decreased by 4.6%</t>
      </text>
    </comment>
    <comment ref="W132" authorId="24" shapeId="0" xr:uid="{AFE7DBB1-8BF8-42AE-AF7D-7D694730F9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stems</t>
      </text>
    </comment>
    <comment ref="X132" authorId="25" shapeId="0" xr:uid="{6B6C92F7-0313-4423-8621-662527B8BF62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soil carbon (floor and minera soil 0-30 cm.</t>
      </text>
    </comment>
    <comment ref="W136" authorId="26" shapeId="0" xr:uid="{96888FF8-E68F-4FA4-8C16-A72C7D46D8D1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C = live+dead+slash+products</t>
      </text>
    </comment>
    <comment ref="X145" authorId="27" shapeId="0" xr:uid="{9F759C78-104D-4E1E-A79D-A1DEADBBD8C1}">
      <text>
        <t>[Threaded comment]
Your version of Excel allows you to read this threaded comment; however, any edits to it will get removed if the file is opened in a newer version of Excel. Learn more: https://go.microsoft.com/fwlink/?linkid=870924
Comment:
    kg ha -1 of ABG+SOC of saplings</t>
      </text>
    </comment>
    <comment ref="Y160" authorId="28" shapeId="0" xr:uid="{9F16B6D6-CFB2-4027-8FB5-402C4AE3C8B6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decrease due to disturbances by wind, bark beetles and forest fires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REY</author>
    <author>tommaso.chiti</author>
    <author>tc={5E7E60CB-ED09-44AD-A029-05D9FCFB7AA0}</author>
  </authors>
  <commentList>
    <comment ref="C3" authorId="0" shapeId="0" xr:uid="{8B8D47B2-F9FD-774A-85B1-F43128A4F045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All studies will be numbered for ID
</t>
        </r>
      </text>
    </comment>
    <comment ref="D3" authorId="0" shapeId="0" xr:uid="{75C49D8C-2A35-2A41-855C-D35399DB23CE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case one study presents more than one site
</t>
        </r>
      </text>
    </comment>
    <comment ref="E3" authorId="0" shapeId="0" xr:uid="{67604CA9-6F17-3C42-8517-28DB1A6C4FAD}">
      <text>
        <r>
          <rPr>
            <b/>
            <sz val="10"/>
            <color rgb="FF000000"/>
            <rFont val="Tahoma"/>
            <family val="2"/>
          </rPr>
          <t>ANA REY: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Authors of the study
</t>
        </r>
      </text>
    </comment>
    <comment ref="S3" authorId="1" shapeId="0" xr:uid="{19316299-F1D0-7441-A144-5EE529F054F1}">
      <text>
        <r>
          <rPr>
            <b/>
            <sz val="10"/>
            <color rgb="FF000000"/>
            <rFont val="Tahoma"/>
            <family val="2"/>
          </rPr>
          <t>tommaso.chiti: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Number of replicates</t>
        </r>
      </text>
    </comment>
    <comment ref="V3" authorId="1" shapeId="0" xr:uid="{7185F1B2-8EC5-B247-977B-7C75CAA8DFFF}">
      <text>
        <r>
          <rPr>
            <b/>
            <sz val="10"/>
            <color rgb="FF000000"/>
            <rFont val="Tahoma"/>
            <family val="2"/>
          </rPr>
          <t>tommaso.chiti: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Time since the practice is implemented</t>
        </r>
      </text>
    </comment>
    <comment ref="AA3" authorId="2" shapeId="0" xr:uid="{5E7E60CB-ED09-44AD-A029-05D9FCFB7A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depth for the SOC sequestration rate</t>
      </text>
    </comment>
  </commentList>
</comments>
</file>

<file path=xl/sharedStrings.xml><?xml version="1.0" encoding="utf-8"?>
<sst xmlns="http://schemas.openxmlformats.org/spreadsheetml/2006/main" count="5090" uniqueCount="1267">
  <si>
    <t>Years</t>
  </si>
  <si>
    <r>
      <rPr>
        <sz val="12"/>
        <color rgb="FF000000"/>
        <rFont val="Calibri"/>
        <family val="2"/>
      </rPr>
      <t>Mg C ha</t>
    </r>
    <r>
      <rPr>
        <vertAlign val="superscript"/>
        <sz val="12"/>
        <color rgb="FF000000"/>
        <rFont val="Calibri"/>
        <family val="2"/>
      </rPr>
      <t>-1</t>
    </r>
  </si>
  <si>
    <r>
      <t>Mg C ha</t>
    </r>
    <r>
      <rPr>
        <vertAlign val="superscript"/>
        <sz val="12"/>
        <color theme="1"/>
        <rFont val="Calibri (Corpo)"/>
      </rPr>
      <t>-1</t>
    </r>
    <r>
      <rPr>
        <sz val="12"/>
        <color theme="1"/>
        <rFont val="Calibri"/>
        <family val="2"/>
        <scheme val="minor"/>
      </rPr>
      <t xml:space="preserve"> yr</t>
    </r>
    <r>
      <rPr>
        <vertAlign val="superscript"/>
        <sz val="12"/>
        <color theme="1"/>
        <rFont val="Calibri (Corpo)"/>
      </rPr>
      <t>-1</t>
    </r>
  </si>
  <si>
    <t>cm</t>
  </si>
  <si>
    <t>%</t>
  </si>
  <si>
    <r>
      <t>Mg m</t>
    </r>
    <r>
      <rPr>
        <vertAlign val="superscript"/>
        <sz val="12"/>
        <color theme="1"/>
        <rFont val="Calibri (Corpo)"/>
      </rPr>
      <t>-3</t>
    </r>
  </si>
  <si>
    <t>Management practices affecting SOCand AGB stock</t>
  </si>
  <si>
    <t>Specific practice</t>
  </si>
  <si>
    <t>STUDY</t>
  </si>
  <si>
    <t>CASE-STUDY</t>
  </si>
  <si>
    <t>AUTHOR</t>
  </si>
  <si>
    <t>YEAR PUBLISHED</t>
  </si>
  <si>
    <t>Journal</t>
  </si>
  <si>
    <t>Year-study</t>
  </si>
  <si>
    <t>BIOME</t>
  </si>
  <si>
    <t>COUNTRY</t>
  </si>
  <si>
    <t>Site-Name</t>
  </si>
  <si>
    <t>Latitude</t>
  </si>
  <si>
    <t>Longitude</t>
  </si>
  <si>
    <t>FOREST TYPE</t>
  </si>
  <si>
    <t>DOMINANT SPP</t>
  </si>
  <si>
    <t>MAT</t>
  </si>
  <si>
    <t>MAP</t>
  </si>
  <si>
    <t>SOIL TYPE</t>
  </si>
  <si>
    <t>n</t>
  </si>
  <si>
    <t>MANAGEMENT</t>
  </si>
  <si>
    <t>AGE</t>
  </si>
  <si>
    <t>TIME</t>
  </si>
  <si>
    <t>ABG</t>
  </si>
  <si>
    <t>SOC</t>
  </si>
  <si>
    <t>ABG_CHANGE</t>
  </si>
  <si>
    <t>SOC_CHANGE</t>
  </si>
  <si>
    <t>DEPTH</t>
  </si>
  <si>
    <t>pH</t>
  </si>
  <si>
    <t>TN</t>
  </si>
  <si>
    <t>clay</t>
  </si>
  <si>
    <t>silt</t>
  </si>
  <si>
    <t>sand</t>
  </si>
  <si>
    <t>bulk_density</t>
  </si>
  <si>
    <t>BIODIVERSITY</t>
  </si>
  <si>
    <t>QUANTIFICATION</t>
  </si>
  <si>
    <t>ADDITIONALITY</t>
  </si>
  <si>
    <t>LONG TERM STORAGE</t>
  </si>
  <si>
    <t>SUSTAINABILITY</t>
  </si>
  <si>
    <t>Comment:</t>
  </si>
  <si>
    <t>Harvesting</t>
  </si>
  <si>
    <t>Single-tree-selection</t>
  </si>
  <si>
    <t>Fantoni et al</t>
  </si>
  <si>
    <t>In preparation</t>
  </si>
  <si>
    <t>Mediterranean</t>
  </si>
  <si>
    <t>Italy</t>
  </si>
  <si>
    <t>Paneveggio</t>
  </si>
  <si>
    <t>Conifer</t>
  </si>
  <si>
    <t>shelterwood system</t>
  </si>
  <si>
    <t>Val di Susa</t>
  </si>
  <si>
    <t>Extending the rotation period</t>
  </si>
  <si>
    <t>Moreno-Fernández et al.</t>
  </si>
  <si>
    <t>Forest Ecology and Management</t>
  </si>
  <si>
    <t>Spain</t>
  </si>
  <si>
    <t>Navafría</t>
  </si>
  <si>
    <t>41° 00' N</t>
  </si>
  <si>
    <t>34° 80' W</t>
  </si>
  <si>
    <t>Scots Pine</t>
  </si>
  <si>
    <t>14.4</t>
  </si>
  <si>
    <t>Chronosequence-single plot per age</t>
  </si>
  <si>
    <t>uniform shelterwood</t>
  </si>
  <si>
    <t>76.9</t>
  </si>
  <si>
    <t>3.97</t>
  </si>
  <si>
    <t>0-30</t>
  </si>
  <si>
    <t>Y</t>
  </si>
  <si>
    <t>rotation period 20 years/thinning intensity &gt;30%</t>
  </si>
  <si>
    <t>62.3</t>
  </si>
  <si>
    <t>3.6</t>
  </si>
  <si>
    <t>61.5</t>
  </si>
  <si>
    <t>2.67</t>
  </si>
  <si>
    <t>84.0</t>
  </si>
  <si>
    <t>1.53</t>
  </si>
  <si>
    <t>79.8</t>
  </si>
  <si>
    <t>0.57</t>
  </si>
  <si>
    <t>Valsaín</t>
  </si>
  <si>
    <t>40° 49' N</t>
  </si>
  <si>
    <t>40° 10' W</t>
  </si>
  <si>
    <t>9.3</t>
  </si>
  <si>
    <t>group shelterwood system,</t>
  </si>
  <si>
    <t>99.8</t>
  </si>
  <si>
    <t>1.97</t>
  </si>
  <si>
    <t>rotation period 20 years/thinning intensity 20-30%</t>
  </si>
  <si>
    <t>105.2</t>
  </si>
  <si>
    <t>4.47</t>
  </si>
  <si>
    <t>72.3</t>
  </si>
  <si>
    <t>3.17</t>
  </si>
  <si>
    <t>98.3</t>
  </si>
  <si>
    <t>2.87</t>
  </si>
  <si>
    <t>93.3</t>
  </si>
  <si>
    <t>2.33</t>
  </si>
  <si>
    <t>104.3</t>
  </si>
  <si>
    <t>1.30</t>
  </si>
  <si>
    <t>Extending the rotation period - Afforestation (here no extension only afforestation on pasture)</t>
  </si>
  <si>
    <t>Perez-Cruzado et al</t>
  </si>
  <si>
    <t>Plant and soil</t>
  </si>
  <si>
    <t>Galicia</t>
  </si>
  <si>
    <t>Broadleaves</t>
  </si>
  <si>
    <t>Eucaliptus globulis</t>
  </si>
  <si>
    <t>12.1</t>
  </si>
  <si>
    <t>Distric Cambisols</t>
  </si>
  <si>
    <t>77.3</t>
  </si>
  <si>
    <t>7.73</t>
  </si>
  <si>
    <t>-0.24</t>
  </si>
  <si>
    <t>0-15</t>
  </si>
  <si>
    <t>9.87</t>
  </si>
  <si>
    <t>0.17</t>
  </si>
  <si>
    <t>Extending the rotation period - Afforestation on pasture</t>
  </si>
  <si>
    <t>218.6</t>
  </si>
  <si>
    <t>10.93</t>
  </si>
  <si>
    <t>0.18</t>
  </si>
  <si>
    <t>Eucaliptus Nitens</t>
  </si>
  <si>
    <t>101.9</t>
  </si>
  <si>
    <t>10.19</t>
  </si>
  <si>
    <t>-0.56</t>
  </si>
  <si>
    <t>180.6</t>
  </si>
  <si>
    <t>12.04</t>
  </si>
  <si>
    <t>-0.005</t>
  </si>
  <si>
    <t>13.0</t>
  </si>
  <si>
    <t>0.05</t>
  </si>
  <si>
    <t>Pine Radiata</t>
  </si>
  <si>
    <t>288.3</t>
  </si>
  <si>
    <t>9.61</t>
  </si>
  <si>
    <t>0.28</t>
  </si>
  <si>
    <t>Removal of harvest residues</t>
  </si>
  <si>
    <t>346.1</t>
  </si>
  <si>
    <t>9.98</t>
  </si>
  <si>
    <t>0.27</t>
  </si>
  <si>
    <t>Site preparation</t>
  </si>
  <si>
    <t>Control before aff. no site prep</t>
  </si>
  <si>
    <t>Fonseca et al.</t>
  </si>
  <si>
    <t>Forest Systems</t>
  </si>
  <si>
    <t>Portugal</t>
  </si>
  <si>
    <t>Macedode Cavaleiros</t>
  </si>
  <si>
    <t>41° 35’ N</t>
  </si>
  <si>
    <t>6° 57' W</t>
  </si>
  <si>
    <t>Mixed</t>
  </si>
  <si>
    <t>Control - no vegetation</t>
  </si>
  <si>
    <t>Three blocks that replicate the set of treatments</t>
  </si>
  <si>
    <t>35.2</t>
  </si>
  <si>
    <t>N.A.</t>
  </si>
  <si>
    <t>No disturbance</t>
  </si>
  <si>
    <t>No subsoiling, no ploughing, plantation with hole digger, PC (60 cm depth)</t>
  </si>
  <si>
    <t>Chestnut/Douglas fir</t>
  </si>
  <si>
    <t>Afforestation</t>
  </si>
  <si>
    <t>38.0</t>
  </si>
  <si>
    <t>1.40</t>
  </si>
  <si>
    <t>Slight disturbance</t>
  </si>
  <si>
    <t>Subsoiling over the whole area,  (around 60 cm depth)</t>
  </si>
  <si>
    <t>37.8</t>
  </si>
  <si>
    <t>No subsoiling, around (90 cm depth)</t>
  </si>
  <si>
    <t>35.4</t>
  </si>
  <si>
    <t>0.10</t>
  </si>
  <si>
    <t>Moderate disturbance</t>
  </si>
  <si>
    <t>Subsoiling in future plantation rows (around 90 cm depth on contour strips)</t>
  </si>
  <si>
    <t>32.5</t>
  </si>
  <si>
    <t>-1.35</t>
  </si>
  <si>
    <t>Subsoiling over the whole area, (around 90 cm depth on contour strips)</t>
  </si>
  <si>
    <t>30.7</t>
  </si>
  <si>
    <t>-2.25</t>
  </si>
  <si>
    <t>High disturbance</t>
  </si>
  <si>
    <t>Subsoiling over the whole area, contour ploughing over the whole area, LC (around 90 cm depth)</t>
  </si>
  <si>
    <t>23.8</t>
  </si>
  <si>
    <t>-5.70</t>
  </si>
  <si>
    <t>Selection of species with N fixing</t>
  </si>
  <si>
    <t>Selection of tree species-Afforestation on mine spoil banks</t>
  </si>
  <si>
    <t>Certini et al.</t>
  </si>
  <si>
    <t>Santa Barbara</t>
  </si>
  <si>
    <t>43◦ 35′ 02″N</t>
  </si>
  <si>
    <t>11◦ 28′ 32″E</t>
  </si>
  <si>
    <t>Walnut</t>
  </si>
  <si>
    <t>High stand of Walnut</t>
  </si>
  <si>
    <t>13.3</t>
  </si>
  <si>
    <t>0.39</t>
  </si>
  <si>
    <t>N</t>
  </si>
  <si>
    <t xml:space="preserve">No change in SOC </t>
  </si>
  <si>
    <t>High stand Walnut/Alder</t>
  </si>
  <si>
    <t>22.8</t>
  </si>
  <si>
    <t>0.67</t>
  </si>
  <si>
    <t>34.8</t>
  </si>
  <si>
    <t>1.02</t>
  </si>
  <si>
    <t>High stand Walnut/Black locust</t>
  </si>
  <si>
    <t>46.2</t>
  </si>
  <si>
    <t>1.36</t>
  </si>
  <si>
    <t>55.8</t>
  </si>
  <si>
    <t>1.64</t>
  </si>
  <si>
    <t xml:space="preserve">Chiti et al. </t>
  </si>
  <si>
    <t>Regional Environmental Change</t>
  </si>
  <si>
    <t>English oak</t>
  </si>
  <si>
    <t>High stand of English Oak</t>
  </si>
  <si>
    <t>46.4</t>
  </si>
  <si>
    <t>0.30</t>
  </si>
  <si>
    <t>Afforestation on mine spoil banks</t>
  </si>
  <si>
    <t>English Oak/Italian Alder</t>
  </si>
  <si>
    <t>High stand of English Oak/Italian Alder</t>
  </si>
  <si>
    <t>55.4</t>
  </si>
  <si>
    <t>0.62</t>
  </si>
  <si>
    <t>Management of stand density and thinning</t>
  </si>
  <si>
    <t>Thinning - Natural Forest</t>
  </si>
  <si>
    <t>Bravo-Oviedo</t>
  </si>
  <si>
    <t>Covaleda</t>
  </si>
  <si>
    <t>41° 56' N</t>
  </si>
  <si>
    <t xml:space="preserve"> 2° 49' W</t>
  </si>
  <si>
    <t>9.2</t>
  </si>
  <si>
    <t>randomized complete block design with three blocks and three treatments</t>
  </si>
  <si>
    <t>High stands of Scots Pine</t>
  </si>
  <si>
    <t>180.1</t>
  </si>
  <si>
    <t>106.69</t>
  </si>
  <si>
    <t>1.65</t>
  </si>
  <si>
    <t>1.16</t>
  </si>
  <si>
    <t>Control</t>
  </si>
  <si>
    <t>145.9</t>
  </si>
  <si>
    <t>101.83</t>
  </si>
  <si>
    <t>1.58</t>
  </si>
  <si>
    <t>1.11</t>
  </si>
  <si>
    <t>Light thinning - includes carbon harvested in thinning and natural mortality in control plots.</t>
  </si>
  <si>
    <t>128.3</t>
  </si>
  <si>
    <t>116.29</t>
  </si>
  <si>
    <t>1.57</t>
  </si>
  <si>
    <t>1.26</t>
  </si>
  <si>
    <t>Moderate thinning - includes carbon harvested in thinning and natural mortality in control plots.</t>
  </si>
  <si>
    <t>Thinning - Afforestation on cropland</t>
  </si>
  <si>
    <t>Ruiz-Peinado</t>
  </si>
  <si>
    <t>Mitig Adapt Strateg Glob Change</t>
  </si>
  <si>
    <t>2010-12</t>
  </si>
  <si>
    <t>Sierra de la Demanda</t>
  </si>
  <si>
    <t>42° 19′N</t>
  </si>
  <si>
    <t>3°_x000D_21′ W</t>
  </si>
  <si>
    <t>Humic Cambisol</t>
  </si>
  <si>
    <t>randomized complete block design with three_x000D_blocks.</t>
  </si>
  <si>
    <t>193.3</t>
  </si>
  <si>
    <t>88.2</t>
  </si>
  <si>
    <t>3.71</t>
  </si>
  <si>
    <t>1.76</t>
  </si>
  <si>
    <t>Control - Afforestation on marginal agricultural land</t>
  </si>
  <si>
    <t>148.1</t>
  </si>
  <si>
    <t>87.2</t>
  </si>
  <si>
    <t>2.85</t>
  </si>
  <si>
    <t>1.74</t>
  </si>
  <si>
    <t>Moderate thinning - Afforestation on marginal agricultural land</t>
  </si>
  <si>
    <t>128.5</t>
  </si>
  <si>
    <t>87.4</t>
  </si>
  <si>
    <t>2.47</t>
  </si>
  <si>
    <t>1.75</t>
  </si>
  <si>
    <t>Heavy thinning - Afforestation on marginal agricultural land</t>
  </si>
  <si>
    <t>Eur J Forest Res</t>
  </si>
  <si>
    <t>Sierra Morena</t>
  </si>
  <si>
    <t xml:space="preserve"> Maritime pine</t>
  </si>
  <si>
    <t>Haplic Luvisol</t>
  </si>
  <si>
    <t>random complete_x000D_block design with three treatments and three blocks</t>
  </si>
  <si>
    <t>High stands of MaritimePine</t>
  </si>
  <si>
    <t>137.46</t>
  </si>
  <si>
    <t>120.45</t>
  </si>
  <si>
    <t>2.25</t>
  </si>
  <si>
    <t>101.65</t>
  </si>
  <si>
    <t>117.22</t>
  </si>
  <si>
    <t>1.67</t>
  </si>
  <si>
    <t>1.92</t>
  </si>
  <si>
    <t>Moderate _x000D_thinning from below</t>
  </si>
  <si>
    <t>90.96</t>
  </si>
  <si>
    <t>107.56</t>
  </si>
  <si>
    <t>1.49</t>
  </si>
  <si>
    <t>Heavy thinning from below</t>
  </si>
  <si>
    <t xml:space="preserve">Coletta et al. </t>
  </si>
  <si>
    <t>J. For. Res.</t>
  </si>
  <si>
    <t>Serra Salinaro</t>
  </si>
  <si>
    <t>39° 25'N</t>
  </si>
  <si>
    <t>16° 2' E,</t>
  </si>
  <si>
    <t>Control-Douglas Fir</t>
  </si>
  <si>
    <t>11.5</t>
  </si>
  <si>
    <t>Brown Podzols,</t>
  </si>
  <si>
    <t>High stand of Douglas Fir</t>
  </si>
  <si>
    <t>2.89</t>
  </si>
  <si>
    <t>69.68</t>
  </si>
  <si>
    <t>4.44</t>
  </si>
  <si>
    <t>Light thinning (34 % felled trees, 7.41 m2 ha-1 of basal area harvested); -  excluded extracted wood - Available</t>
  </si>
  <si>
    <t>60.56</t>
  </si>
  <si>
    <t>4.57</t>
  </si>
  <si>
    <t>Moderate thinning (48 % felled trees, 12.75 m2 ha-1 of basal area harvested); excluded extracted wood - Available</t>
  </si>
  <si>
    <t>56.95</t>
  </si>
  <si>
    <t>4.73</t>
  </si>
  <si>
    <t>Heavy thinning (53 % felled trees, 17.74 m2 ha-1 of basal area harvested); excluded extracted wood - Available</t>
  </si>
  <si>
    <t>Thinning (coppice vs high forest)</t>
  </si>
  <si>
    <t>Notarangelo M, et al.</t>
  </si>
  <si>
    <t>Bosco di Manfredonia</t>
  </si>
  <si>
    <t xml:space="preserve">Quercuse Cerris </t>
  </si>
  <si>
    <t>randomised blocks, with three groups replicated twice</t>
  </si>
  <si>
    <t>No thinning</t>
  </si>
  <si>
    <t>181.6</t>
  </si>
  <si>
    <t>2.64</t>
  </si>
  <si>
    <t>Y -no effect</t>
  </si>
  <si>
    <t>Bosco di_x000D_ Manfredonia</t>
  </si>
  <si>
    <t>Thinning (600 trees ha)</t>
  </si>
  <si>
    <t>3.08</t>
  </si>
  <si>
    <t>Heavy thinning</t>
  </si>
  <si>
    <t>Thinning (800 trees ha)</t>
  </si>
  <si>
    <t>0.84</t>
  </si>
  <si>
    <t xml:space="preserve">Camponi et al. </t>
  </si>
  <si>
    <t>J. of Environmental management</t>
  </si>
  <si>
    <t>Natural Reserve of Monterufoli</t>
  </si>
  <si>
    <t xml:space="preserve"> 43°13'43.53"N</t>
  </si>
  <si>
    <t xml:space="preserve"> 10°41'49.96"E</t>
  </si>
  <si>
    <t>Quercus cerris L.</t>
  </si>
  <si>
    <t>13.5</t>
  </si>
  <si>
    <t>4 _x000D_plots • 3 trials</t>
  </si>
  <si>
    <t>Moderate thinning</t>
  </si>
  <si>
    <t>Heavy thiining</t>
  </si>
  <si>
    <t>Thinning</t>
  </si>
  <si>
    <t>Del Río</t>
  </si>
  <si>
    <t>Annals of Forest Science 65, 308</t>
  </si>
  <si>
    <t>Iberian and Central Spain</t>
  </si>
  <si>
    <t>41°59'40,042''</t>
  </si>
  <si>
    <t>range 2-3</t>
  </si>
  <si>
    <t>Pinus sylvestris</t>
  </si>
  <si>
    <t>Acidic</t>
  </si>
  <si>
    <t>35/50</t>
  </si>
  <si>
    <t>since 1968</t>
  </si>
  <si>
    <t>Annals of Forest Science 65, 309</t>
  </si>
  <si>
    <t>Light thinning</t>
  </si>
  <si>
    <t>80-90%</t>
  </si>
  <si>
    <t>Annals of Forest Science 65, 310</t>
  </si>
  <si>
    <t>65-79</t>
  </si>
  <si>
    <t>Annals of Forest Science 65, 311</t>
  </si>
  <si>
    <t>&lt;65</t>
  </si>
  <si>
    <t xml:space="preserve">Alfaro Sanchez et al </t>
  </si>
  <si>
    <t>Annals of Forest Science 72</t>
  </si>
  <si>
    <t>Yeste (SE Spain)</t>
  </si>
  <si>
    <t>Dry</t>
  </si>
  <si>
    <t>Evergreen Conifer</t>
  </si>
  <si>
    <t>Pinus halepensis</t>
  </si>
  <si>
    <t xml:space="preserve">Pinus pinaster </t>
  </si>
  <si>
    <t>13.6</t>
  </si>
  <si>
    <t>since 1999</t>
  </si>
  <si>
    <t>Quercus ilex</t>
  </si>
  <si>
    <t>Thiining 5 year after fire</t>
  </si>
  <si>
    <t>thinning ppostfire 10</t>
  </si>
  <si>
    <t>thinning ppostfire 11</t>
  </si>
  <si>
    <t>Thining after 5 and 10</t>
  </si>
  <si>
    <t xml:space="preserve">Calasparra </t>
  </si>
  <si>
    <t>Semiarid</t>
  </si>
  <si>
    <t>16.5</t>
  </si>
  <si>
    <t>Herbivory regulation</t>
  </si>
  <si>
    <t>Ungulate exclusion</t>
  </si>
  <si>
    <t>Lecomte et al.</t>
  </si>
  <si>
    <t>Journal of Applied Ecology</t>
  </si>
  <si>
    <t>Tapada de Baixo</t>
  </si>
  <si>
    <t>38°49′N</t>
  </si>
  <si>
    <t>07°24′W</t>
  </si>
  <si>
    <t>(Quercus rotundifolia/Quercus suber</t>
  </si>
  <si>
    <t>15.9</t>
  </si>
  <si>
    <t>1.33</t>
  </si>
  <si>
    <t>Removal of litter and biomass for fodder and fuel</t>
  </si>
  <si>
    <t>0.96</t>
  </si>
  <si>
    <t>Afforestation on cropland</t>
  </si>
  <si>
    <t xml:space="preserve">Novara et al. </t>
  </si>
  <si>
    <t>Catena</t>
  </si>
  <si>
    <t>Grotta di Santa Ninfa</t>
  </si>
  <si>
    <t>37°47′50″N</t>
  </si>
  <si>
    <t>12°55′45″E</t>
  </si>
  <si>
    <t>Eucaliptus</t>
  </si>
  <si>
    <t>Cambisol</t>
  </si>
  <si>
    <t>High stand of Eucaliptus</t>
  </si>
  <si>
    <t>69.25</t>
  </si>
  <si>
    <t xml:space="preserve">Segura et al. </t>
  </si>
  <si>
    <t>Cortijo de Becerra</t>
  </si>
  <si>
    <t>37°26′N</t>
  </si>
  <si>
    <t>3°05′W</t>
  </si>
  <si>
    <t>Eutric Fluvisols</t>
  </si>
  <si>
    <t>0-20</t>
  </si>
  <si>
    <t>Afforestation on pasture</t>
  </si>
  <si>
    <t>Cosenza</t>
  </si>
  <si>
    <t>39° 23' N</t>
  </si>
  <si>
    <t>3° 53'' E</t>
  </si>
  <si>
    <t>P. nigra Arn. Var. Calabrica</t>
  </si>
  <si>
    <t>Iovino et al</t>
  </si>
  <si>
    <t>Annals of Silvicultural Research</t>
  </si>
  <si>
    <t>Thinned</t>
  </si>
  <si>
    <t>No Thinned</t>
  </si>
  <si>
    <t>P. nigra Arn. Var. Calabrica/douglas fir</t>
  </si>
  <si>
    <t>Douglas fir</t>
  </si>
  <si>
    <t>oak</t>
  </si>
  <si>
    <t>Chestnut</t>
  </si>
  <si>
    <t>Garcia Campos</t>
  </si>
  <si>
    <t>Forests</t>
  </si>
  <si>
    <t>A Barca</t>
  </si>
  <si>
    <t xml:space="preserve"> 42°43'46.38"N</t>
  </si>
  <si>
    <t xml:space="preserve">  8°38'3.58"W</t>
  </si>
  <si>
    <r>
      <t>Populus x euroamericana</t>
    </r>
    <r>
      <rPr>
        <sz val="10"/>
        <color rgb="FF222222"/>
        <rFont val="Arial"/>
        <charset val="1"/>
      </rPr>
      <t> (Dode) Guinier</t>
    </r>
  </si>
  <si>
    <t>Arenic Fluvisols</t>
  </si>
  <si>
    <t>Sierra et al</t>
  </si>
  <si>
    <t>Soil and Tillge research</t>
  </si>
  <si>
    <t>Santa Fe-Granada</t>
  </si>
  <si>
    <t>Populus x euramericana NNDV clone</t>
  </si>
  <si>
    <t xml:space="preserve">haplic Regosol (calcaric) </t>
  </si>
  <si>
    <t>Palacios-Rodriguez</t>
  </si>
  <si>
    <t>Puerto Real</t>
  </si>
  <si>
    <t>36°30′54.79” N</t>
  </si>
  <si>
    <t>6°4′42.50” W</t>
  </si>
  <si>
    <t>Ceratonia siliqua</t>
  </si>
  <si>
    <t>17.6</t>
  </si>
  <si>
    <t>Calcic Fluvisol</t>
  </si>
  <si>
    <t xml:space="preserve">Afforestation on cropland </t>
  </si>
  <si>
    <t>Renna et al</t>
  </si>
  <si>
    <t>Geoderma</t>
  </si>
  <si>
    <t>Extremadura,</t>
  </si>
  <si>
    <t>38°40′41.9”N</t>
  </si>
  <si>
    <t>5°16′02.0”W</t>
  </si>
  <si>
    <t>Quercus Ilex/Q Suber</t>
  </si>
  <si>
    <t xml:space="preserve"> Cambisols</t>
  </si>
  <si>
    <t>Woody encrochment (natural Afforestation)</t>
  </si>
  <si>
    <t>Secondary succession on pastures</t>
  </si>
  <si>
    <t>Nadal-Romero</t>
  </si>
  <si>
    <t xml:space="preserve">Catena </t>
  </si>
  <si>
    <t>Bestué</t>
  </si>
  <si>
    <t>(Quercus faginea</t>
  </si>
  <si>
    <t>No management</t>
  </si>
  <si>
    <t>Pellis et al.</t>
  </si>
  <si>
    <t>Science of the Total Environment</t>
  </si>
  <si>
    <t>Castello Tesino</t>
  </si>
  <si>
    <t>46.125 N</t>
  </si>
  <si>
    <t>11.650 E</t>
  </si>
  <si>
    <t>4.6</t>
  </si>
  <si>
    <t>Phaeozem</t>
  </si>
  <si>
    <t>Mel</t>
  </si>
  <si>
    <t>45.969 N</t>
  </si>
  <si>
    <t>12.071 E</t>
  </si>
  <si>
    <t>6.5</t>
  </si>
  <si>
    <t>Chianocco</t>
  </si>
  <si>
    <t>45.177 N</t>
  </si>
  <si>
    <t>7.202 E</t>
  </si>
  <si>
    <t>Mixture</t>
  </si>
  <si>
    <t>8.4</t>
  </si>
  <si>
    <t>Firenzuola</t>
  </si>
  <si>
    <t>44.140 N</t>
  </si>
  <si>
    <t>11.320 E</t>
  </si>
  <si>
    <t>10.1</t>
  </si>
  <si>
    <t>Farindola</t>
  </si>
  <si>
    <t>42.433 N</t>
  </si>
  <si>
    <t>13.783 E</t>
  </si>
  <si>
    <t>9.8</t>
  </si>
  <si>
    <t>Pignola</t>
  </si>
  <si>
    <t>40.583 N</t>
  </si>
  <si>
    <t>15.819 E</t>
  </si>
  <si>
    <t>Fino et al.</t>
  </si>
  <si>
    <t>Danta di Cadore</t>
  </si>
  <si>
    <t>46.5683 N</t>
  </si>
  <si>
    <t>12.5122 E</t>
  </si>
  <si>
    <t>3.5</t>
  </si>
  <si>
    <t>Falcade</t>
  </si>
  <si>
    <t>46.3577 N</t>
  </si>
  <si>
    <t>1.5</t>
  </si>
  <si>
    <t>Longarone</t>
  </si>
  <si>
    <t>46.2724 N</t>
  </si>
  <si>
    <t>12.3006 E</t>
  </si>
  <si>
    <t>6.1</t>
  </si>
  <si>
    <t>46.0618 N</t>
  </si>
  <si>
    <t>12.0789 E</t>
  </si>
  <si>
    <t>Santa Giustina</t>
  </si>
  <si>
    <t>46.0864 N</t>
  </si>
  <si>
    <t>12.0442 E</t>
  </si>
  <si>
    <t>8.3</t>
  </si>
  <si>
    <t>Chiti et al</t>
  </si>
  <si>
    <t>J. Environmental management</t>
  </si>
  <si>
    <t>-1.01</t>
  </si>
  <si>
    <t>-0.29</t>
  </si>
  <si>
    <t>0.53</t>
  </si>
  <si>
    <t>0.66</t>
  </si>
  <si>
    <t>1.29</t>
  </si>
  <si>
    <t>1.13</t>
  </si>
  <si>
    <t>Secondary succession on cropland</t>
  </si>
  <si>
    <t>1.31</t>
  </si>
  <si>
    <t>0.59</t>
  </si>
  <si>
    <t>1.32</t>
  </si>
  <si>
    <t>Bell et al.</t>
  </si>
  <si>
    <t>Science of The Total Environment</t>
  </si>
  <si>
    <t>Font-rubí</t>
  </si>
  <si>
    <t>41°25′35.5″N</t>
  </si>
  <si>
    <t>1°36′33.5″E</t>
  </si>
  <si>
    <t>Quercus ilex, and Quercus cerrioides</t>
  </si>
  <si>
    <t>Calcaric leptosols and petric calcisols</t>
  </si>
  <si>
    <t>Torrelavit</t>
  </si>
  <si>
    <t>41°26′07.5″N</t>
  </si>
  <si>
    <t>1°43′49.4″E</t>
  </si>
  <si>
    <t>Cànoves</t>
  </si>
  <si>
    <t>41°40′55.4″N</t>
  </si>
  <si>
    <t>2°18′52.3″E</t>
  </si>
  <si>
    <t>Calcaric cambisols and haplic calcisols</t>
  </si>
  <si>
    <t>Alias et al</t>
  </si>
  <si>
    <t>Land</t>
  </si>
  <si>
    <t>Soain</t>
  </si>
  <si>
    <t>Robledillo de Trujillo</t>
  </si>
  <si>
    <t>39°16′10.43′′ N</t>
  </si>
  <si>
    <t>5°58′49.34′′ W</t>
  </si>
  <si>
    <t>Quercus pyrenaica</t>
  </si>
  <si>
    <t>Cambisol dystric</t>
  </si>
  <si>
    <t>Agroforestry</t>
  </si>
  <si>
    <t>Silvopastural, single trees - Dehesa holm oak  25-50 trees ha - scattered</t>
  </si>
  <si>
    <t>Kay et al</t>
  </si>
  <si>
    <t>Agrofor. Syst.</t>
  </si>
  <si>
    <t xml:space="preserve">holm oak (Quercus ilex) </t>
  </si>
  <si>
    <t>0.09-0.16</t>
  </si>
  <si>
    <t>Silvoarable, coppice - Pawlonia 500 trees ha-1 - lines - SRC</t>
  </si>
  <si>
    <t>Land Use Policy</t>
  </si>
  <si>
    <t xml:space="preserve">Mediterranean </t>
  </si>
  <si>
    <t>pawlonia (Paulownia tomentosa)</t>
  </si>
  <si>
    <t>0.4-2.2</t>
  </si>
  <si>
    <t>Silvoarable, single trees - Timber plantation - 200 trees ha-1 - lines</t>
  </si>
  <si>
    <t>5.0- 6.0</t>
  </si>
  <si>
    <t>Silvopastural, single trees - Grazed cork oak plantation - 113 trees ha-1, after 20 years: 50 trees ha-1 - lines</t>
  </si>
  <si>
    <t xml:space="preserve">cork oak (Quercus suber) </t>
  </si>
  <si>
    <t>0.34 - 1.29</t>
  </si>
  <si>
    <t>Silvoarable, single trees - Fruit Plantations - 417 trees ha - lines</t>
  </si>
  <si>
    <t xml:space="preserve">fruit trees: apple (Malus domestica), pear (Pyrus spp.), cherry (Prunus avium), </t>
  </si>
  <si>
    <t>5.3</t>
  </si>
  <si>
    <t>Silvoarable, single trees - Durum wheat production in agroforestry  - 128 trees ha - lines</t>
  </si>
  <si>
    <t>Poplar (Populus spp)</t>
  </si>
  <si>
    <t>3.69 - 4.67</t>
  </si>
  <si>
    <t>Walnut (Juglans nigra x regia)</t>
  </si>
  <si>
    <t>0.77 - 1.85</t>
  </si>
  <si>
    <t>Silvoarable, single trees - Walnut trees intercropped with wheat  - 104 trees ha - lines</t>
  </si>
  <si>
    <t>Hybrid walnut (Juglans nigra x regia)</t>
  </si>
  <si>
    <t>0.6 - 2.6</t>
  </si>
  <si>
    <t>Silvoarable, single trees - Walnut trees on arable land  - 102 trees ha - lines</t>
  </si>
  <si>
    <t>Black walnut (Juglans nigra)</t>
  </si>
  <si>
    <t>0.86 - 2.62</t>
  </si>
  <si>
    <t xml:space="preserve">Silvoarable, single trees - High stem timber trees  - 200 trees ha - lines </t>
  </si>
  <si>
    <t>5.76 - 7.29</t>
  </si>
  <si>
    <t xml:space="preserve">Silvoarable, single trees - High stem timber trees  - 166 trees ha - lines </t>
  </si>
  <si>
    <t>1.0 - 4.15</t>
  </si>
  <si>
    <t>silvopastural, single trees -Grazed fruit plantations - 250 trees ha Lines</t>
  </si>
  <si>
    <t xml:space="preserve">Proietti et al. </t>
  </si>
  <si>
    <t>Appl. Energy</t>
  </si>
  <si>
    <t xml:space="preserve">olive (Olea europaea), </t>
  </si>
  <si>
    <t>Silvoarable, single trees - Fruit tree alley  - 200-400 trees ha - lines or scattered</t>
  </si>
  <si>
    <t xml:space="preserve">Olive (Olea europaea) </t>
  </si>
  <si>
    <t>1.57 - 3.14</t>
  </si>
  <si>
    <t xml:space="preserve">Silvoarable, single trees - olive and chickpeas  - 100 trees ha - lines </t>
  </si>
  <si>
    <t>0.78</t>
  </si>
  <si>
    <t xml:space="preserve">Silvoarable, single trees - Intercrop with oak plantation  - 113 trees ha after 20 years 50- lines </t>
  </si>
  <si>
    <t>Palma et al.</t>
  </si>
  <si>
    <t xml:space="preserve">Cork oak (Quercus suber) </t>
  </si>
  <si>
    <t>Lopez-Bellido</t>
  </si>
  <si>
    <t>Carbon Manag</t>
  </si>
  <si>
    <t>almond (Prunus dulcis)</t>
  </si>
  <si>
    <t>Haycrop(oats, Italianryegrassandannual cloversorvetch) withsparsecorkoaks</t>
  </si>
  <si>
    <t>Francavigliaa</t>
  </si>
  <si>
    <t>Agricultural systems</t>
  </si>
  <si>
    <t>Coark Oak</t>
  </si>
  <si>
    <t>Haplic Endoleptic Cambisols</t>
  </si>
  <si>
    <t>Pasture,coveredwithspontaneousherbaceousvegetationwith sparsecorkoaks</t>
  </si>
  <si>
    <t>0.04</t>
  </si>
  <si>
    <t>Walnut hybrid</t>
  </si>
  <si>
    <t>Cardinael et al</t>
  </si>
  <si>
    <t>Agriculture, Ecosystems and Environment</t>
  </si>
  <si>
    <t>France</t>
  </si>
  <si>
    <t>Châteaudun</t>
  </si>
  <si>
    <t>48°06′08″ N</t>
  </si>
  <si>
    <t>1°17′58″ E</t>
  </si>
  <si>
    <t>Luvisols</t>
  </si>
  <si>
    <t>Melle</t>
  </si>
  <si>
    <t>46°11′54″ N</t>
  </si>
  <si>
    <t>0°10′37″ W</t>
  </si>
  <si>
    <t>11.7</t>
  </si>
  <si>
    <t>Black Walnut</t>
  </si>
  <si>
    <t>Saint-Jean-d’Angély</t>
  </si>
  <si>
    <t>46°00′39″ N</t>
  </si>
  <si>
    <t>0°13′57″ W</t>
  </si>
  <si>
    <t>12.9</t>
  </si>
  <si>
    <t>Vézénobres</t>
  </si>
  <si>
    <t xml:space="preserve"> 46°00'39″ N</t>
  </si>
  <si>
    <t>4°06′37″ E</t>
  </si>
  <si>
    <t>14.5</t>
  </si>
  <si>
    <t>Fluvisol</t>
  </si>
  <si>
    <t>Prades-le-Lez</t>
  </si>
  <si>
    <t>43°43′ N</t>
  </si>
  <si>
    <t>04°01′ E</t>
  </si>
  <si>
    <t xml:space="preserve">Traditional fire management </t>
  </si>
  <si>
    <t xml:space="preserve">Prescribed fire </t>
  </si>
  <si>
    <t>Seijo et al</t>
  </si>
  <si>
    <t>Casillas and Rozas</t>
  </si>
  <si>
    <t xml:space="preserve">40°18′N </t>
  </si>
  <si>
    <t>4°29′W</t>
  </si>
  <si>
    <t>Chesnut forest</t>
  </si>
  <si>
    <t>Castanea sativa</t>
  </si>
  <si>
    <t>Traditional prescribed burning</t>
  </si>
  <si>
    <t>Afforestation grassland</t>
  </si>
  <si>
    <t>Thuille &amp; Schulze</t>
  </si>
  <si>
    <t>Global Change Biology</t>
  </si>
  <si>
    <t>temperate</t>
  </si>
  <si>
    <t>Italy, Germany</t>
  </si>
  <si>
    <t>three Norway spruce stands, chronosequence</t>
  </si>
  <si>
    <t>Spruce</t>
  </si>
  <si>
    <t>calcareous soil</t>
  </si>
  <si>
    <t>45-100</t>
  </si>
  <si>
    <t>0.24</t>
  </si>
  <si>
    <t>50cm</t>
  </si>
  <si>
    <t>acidic soil</t>
  </si>
  <si>
    <t>40-100</t>
  </si>
  <si>
    <t>0.34</t>
  </si>
  <si>
    <t xml:space="preserve">Heinsdorf </t>
  </si>
  <si>
    <t>Beitr. Forstwirtsch. Landschaftsökol.</t>
  </si>
  <si>
    <t>Germany</t>
  </si>
  <si>
    <t>Pine</t>
  </si>
  <si>
    <t>0.25</t>
  </si>
  <si>
    <t>Afforestation cropland</t>
  </si>
  <si>
    <t>Vesterdal et al.</t>
  </si>
  <si>
    <t>FEM</t>
  </si>
  <si>
    <t>Denmark</t>
  </si>
  <si>
    <t xml:space="preserve"> seven Norway spruce stands, chronosequence</t>
  </si>
  <si>
    <t>sandy loam developed from calcareous till deposits</t>
  </si>
  <si>
    <t>no change</t>
  </si>
  <si>
    <t>25cm</t>
  </si>
  <si>
    <t xml:space="preserve"> seven Oak stands, chronosequence</t>
  </si>
  <si>
    <t>Oak</t>
  </si>
  <si>
    <t>Afforestation mixed agric land</t>
  </si>
  <si>
    <t>Zeidler et al.</t>
  </si>
  <si>
    <t>Czech Repblic</t>
  </si>
  <si>
    <t>six research plots</t>
  </si>
  <si>
    <t>modal cryptopodzols and cambisols</t>
  </si>
  <si>
    <t>66-70</t>
  </si>
  <si>
    <t>European Larch</t>
  </si>
  <si>
    <t>Afforestation treeline</t>
  </si>
  <si>
    <t>Hiltbrunner et al.</t>
  </si>
  <si>
    <t>Biogeochemistry</t>
  </si>
  <si>
    <t>Switzerland</t>
  </si>
  <si>
    <t>chronosequence 25 years</t>
  </si>
  <si>
    <t>eutric cambisols on carbonate bedrock</t>
  </si>
  <si>
    <t>80cm</t>
  </si>
  <si>
    <t>chronosequence 120 years</t>
  </si>
  <si>
    <t>Smal et al.</t>
  </si>
  <si>
    <t>Poland</t>
  </si>
  <si>
    <t>chronosequence 10-50 years</t>
  </si>
  <si>
    <t>Pine (P. sylvestris)</t>
  </si>
  <si>
    <t>dystric arenosols</t>
  </si>
  <si>
    <t>32-70</t>
  </si>
  <si>
    <t>100cm</t>
  </si>
  <si>
    <t>Speckert et al.</t>
  </si>
  <si>
    <t>SOIL</t>
  </si>
  <si>
    <t>chronosequence 40-130 years</t>
  </si>
  <si>
    <t>45cm</t>
  </si>
  <si>
    <t>Afforestation farmland</t>
  </si>
  <si>
    <t>Vacek et al.</t>
  </si>
  <si>
    <t>Trees</t>
  </si>
  <si>
    <t>monospecific stand</t>
  </si>
  <si>
    <t>eutrophic cambisols and gleyed cambisols</t>
  </si>
  <si>
    <t>Poplar</t>
  </si>
  <si>
    <t>Alder</t>
  </si>
  <si>
    <t>Sycamore maple</t>
  </si>
  <si>
    <t>Larch</t>
  </si>
  <si>
    <t>Afforestation agricultural land</t>
  </si>
  <si>
    <t>Cukor</t>
  </si>
  <si>
    <t>Cantena</t>
  </si>
  <si>
    <t>Beech</t>
  </si>
  <si>
    <t>mesotrophic cambium on siltstone</t>
  </si>
  <si>
    <t>20cm</t>
  </si>
  <si>
    <t>Lime</t>
  </si>
  <si>
    <t>Peatlands</t>
  </si>
  <si>
    <t>neagativ = emission reduction</t>
  </si>
  <si>
    <t>GHG emission_CHANGE</t>
  </si>
  <si>
    <t>Peatland management</t>
  </si>
  <si>
    <t>Restauration, nutrient poor, CO2</t>
  </si>
  <si>
    <t xml:space="preserve">Wilson et al. </t>
  </si>
  <si>
    <t>Mires and Peat</t>
  </si>
  <si>
    <t>Temperate</t>
  </si>
  <si>
    <t>Global</t>
  </si>
  <si>
    <t>forested peatland</t>
  </si>
  <si>
    <t>trees not reported</t>
  </si>
  <si>
    <t>NOTE unit tons Co2eq ha-1m-2 d-1)</t>
  </si>
  <si>
    <t>Restoration, nutrient rich, CO2</t>
  </si>
  <si>
    <t>Restoration, nutrient poor, CH4</t>
  </si>
  <si>
    <t>Restoration, nutrient rich, CH4</t>
  </si>
  <si>
    <t>Restauration, nutrient poor, N2O</t>
  </si>
  <si>
    <t>Restoration, nutrient rich, N2O</t>
  </si>
  <si>
    <t>Restoration, nutrient poor, total emission reduction</t>
  </si>
  <si>
    <t>Rewetting CO2</t>
  </si>
  <si>
    <t>Tienemeyer et al.</t>
  </si>
  <si>
    <t>Ecological indicators</t>
  </si>
  <si>
    <t>Rewetting CH4</t>
  </si>
  <si>
    <t>Rewetting N2O</t>
  </si>
  <si>
    <t>Rewetting total</t>
  </si>
  <si>
    <t>Rewetting of forested bog with productive stand, CO2 whole ecosystem</t>
  </si>
  <si>
    <t>Hommeltenberg et al.</t>
  </si>
  <si>
    <t>Biogeosciences</t>
  </si>
  <si>
    <t>trees included</t>
  </si>
  <si>
    <t>2,83 - 8,33</t>
  </si>
  <si>
    <t>NOTE whole ecosystem C exchange</t>
  </si>
  <si>
    <t>Rewetting of forested bog with productive stand, CO2 peat only</t>
  </si>
  <si>
    <t>NOTE peat loss only</t>
  </si>
  <si>
    <t>Rewetting of alder peatland CO2</t>
  </si>
  <si>
    <t>Schweiger et al.</t>
  </si>
  <si>
    <t>Ecosystems</t>
  </si>
  <si>
    <t xml:space="preserve">Alnus Glutinosa </t>
  </si>
  <si>
    <t>sign reduction</t>
  </si>
  <si>
    <t>NOTE GHG change no clear number reported</t>
  </si>
  <si>
    <t>Liming</t>
  </si>
  <si>
    <t>Dolomite application (3t/ha) in stand</t>
  </si>
  <si>
    <t>Bauhus et al.</t>
  </si>
  <si>
    <t>CanJForRes</t>
  </si>
  <si>
    <t>mature beech stand</t>
  </si>
  <si>
    <t>dystric Cambisol</t>
  </si>
  <si>
    <t>not reported</t>
  </si>
  <si>
    <t>Dolomite application (3t/ha) in gaps</t>
  </si>
  <si>
    <t>regeneration in gaps</t>
  </si>
  <si>
    <t>early successional species</t>
  </si>
  <si>
    <t>Soil survey Germany - liming with mostly 3t/ha</t>
  </si>
  <si>
    <t>Grüneberg et al.</t>
  </si>
  <si>
    <t>Ecological Studies</t>
  </si>
  <si>
    <t>various</t>
  </si>
  <si>
    <t>Liming 2-9 t/ha, coniferous, forest floor</t>
  </si>
  <si>
    <t>van Straaten et al.</t>
  </si>
  <si>
    <t>16 monospecific stands</t>
  </si>
  <si>
    <t>20-30</t>
  </si>
  <si>
    <t>significant decrease</t>
  </si>
  <si>
    <t>60cm</t>
  </si>
  <si>
    <t xml:space="preserve"> NOTE minus 8,6 tons after 20-30 years</t>
  </si>
  <si>
    <t>Liming 2-9 t/ha, coniferous, mineral soil</t>
  </si>
  <si>
    <t>Liming 2-9 t/ha,decidous forest floor</t>
  </si>
  <si>
    <t>11 monospecific stands (9 beech, 2 oak)</t>
  </si>
  <si>
    <t>Beech + Oak</t>
  </si>
  <si>
    <t xml:space="preserve"> NOTE minus 8,1 tons after 20-30 years</t>
  </si>
  <si>
    <t>Liming 2-9 t/ha,decidous mineral soil</t>
  </si>
  <si>
    <t>Clear cut vs single tree selection</t>
  </si>
  <si>
    <t>Clear cut</t>
  </si>
  <si>
    <t>Lenk &amp; Kenk</t>
  </si>
  <si>
    <t>Allgemeine Forstzeitung</t>
  </si>
  <si>
    <t>1950-2001</t>
  </si>
  <si>
    <t>Baden-Wuertenberg</t>
  </si>
  <si>
    <t>Norway spruce-silver fir-beech</t>
  </si>
  <si>
    <t>Brown soil</t>
  </si>
  <si>
    <t>Whole county B-W</t>
  </si>
  <si>
    <t>All ages</t>
  </si>
  <si>
    <t>-0.25</t>
  </si>
  <si>
    <t>y</t>
  </si>
  <si>
    <t>Balanced selection forest</t>
  </si>
  <si>
    <t>Management vs no-intervention</t>
  </si>
  <si>
    <t xml:space="preserve">0-33% realisation of management plan </t>
  </si>
  <si>
    <t>de Groot et al.</t>
  </si>
  <si>
    <t>Slovenia</t>
  </si>
  <si>
    <t>Entire country</t>
  </si>
  <si>
    <t>All types</t>
  </si>
  <si>
    <t>Spruce, beech</t>
  </si>
  <si>
    <t>1996-2017</t>
  </si>
  <si>
    <t>-0.04</t>
  </si>
  <si>
    <t>34–66% realisation of management plan</t>
  </si>
  <si>
    <t>-0.01</t>
  </si>
  <si>
    <t>67-100% realisation of management plan</t>
  </si>
  <si>
    <t>Management</t>
  </si>
  <si>
    <t>Roebroek et al.</t>
  </si>
  <si>
    <t>Science</t>
  </si>
  <si>
    <t>Worldwide</t>
  </si>
  <si>
    <t>All</t>
  </si>
  <si>
    <t>No intervention</t>
  </si>
  <si>
    <t>0.15 Mg</t>
  </si>
  <si>
    <t>Comparison managed and Reservation</t>
  </si>
  <si>
    <t>Krug</t>
  </si>
  <si>
    <t>Carbon Balance and Management</t>
  </si>
  <si>
    <t>beech intermixed</t>
  </si>
  <si>
    <t>beech</t>
  </si>
  <si>
    <t>24 yrs non-intervention</t>
  </si>
  <si>
    <t>NOTE harvested wood not included</t>
  </si>
  <si>
    <t>Management age classes</t>
  </si>
  <si>
    <t>Model study on forest enterprise level</t>
  </si>
  <si>
    <t>Seidl et al.</t>
  </si>
  <si>
    <t>Austria</t>
  </si>
  <si>
    <t>various stands across 250 ha</t>
  </si>
  <si>
    <t>spruce</t>
  </si>
  <si>
    <t>100 years model run</t>
  </si>
  <si>
    <t>Management towards continous cover</t>
  </si>
  <si>
    <t>Management species change spruce to mixed</t>
  </si>
  <si>
    <t>mixed</t>
  </si>
  <si>
    <t>No management scenario</t>
  </si>
  <si>
    <t>Tree species</t>
  </si>
  <si>
    <t>Comparison of beech and pine stands</t>
  </si>
  <si>
    <t>Förster et al</t>
  </si>
  <si>
    <t xml:space="preserve">various stands </t>
  </si>
  <si>
    <t>beech or pine</t>
  </si>
  <si>
    <t>average beech 145 - average pine 90</t>
  </si>
  <si>
    <t>1,1 higher in beech</t>
  </si>
  <si>
    <t xml:space="preserve"> significantly more SOC in pine soil! (numbers not reported)</t>
  </si>
  <si>
    <t>Unmanaged stands - competition based mortality</t>
  </si>
  <si>
    <t>No intervention - A grade thinning</t>
  </si>
  <si>
    <t>Pretzsch et al.</t>
  </si>
  <si>
    <t>Europe</t>
  </si>
  <si>
    <t>Entire Europe</t>
  </si>
  <si>
    <t>Several sites</t>
  </si>
  <si>
    <t>Spruce, pine, larch, silver fir, douglas fir, beech, oak</t>
  </si>
  <si>
    <t>476 plots</t>
  </si>
  <si>
    <t>max. &lt;150 y (established 1872)</t>
  </si>
  <si>
    <t>one third of the total production</t>
  </si>
  <si>
    <t>0.4–1.1 t C ha-1 yr-1</t>
  </si>
  <si>
    <t>Increased tree harvest vs BAU</t>
  </si>
  <si>
    <t>Increased tree harvest</t>
  </si>
  <si>
    <t>Meta-study</t>
  </si>
  <si>
    <t>45 case studies</t>
  </si>
  <si>
    <t>Soimakallio et al.</t>
  </si>
  <si>
    <t>GCB Bioenergy</t>
  </si>
  <si>
    <t>Temperate &amp; boreal</t>
  </si>
  <si>
    <t>max. &lt;100 y</t>
  </si>
  <si>
    <t>-1.6 tc per tc harvested over 100 years in temperate and boreal</t>
  </si>
  <si>
    <t>Intensive vs extensive vs no- management (meta study)</t>
  </si>
  <si>
    <t>Intesive inclusive residues</t>
  </si>
  <si>
    <t>Achat et al.</t>
  </si>
  <si>
    <t>2015a</t>
  </si>
  <si>
    <t>Scientific Reports</t>
  </si>
  <si>
    <t>Intesive harvest inclusive residues</t>
  </si>
  <si>
    <t>max. &lt;135 y</t>
  </si>
  <si>
    <t>forests by about 1.6 (stdev 0.9) tC per tC harvested</t>
  </si>
  <si>
    <t xml:space="preserve">Extensive </t>
  </si>
  <si>
    <t>Extensive harvest (stem only)</t>
  </si>
  <si>
    <t>Even-aged vs uneven-aged structure</t>
  </si>
  <si>
    <t>Uneven-aged management</t>
  </si>
  <si>
    <t>Jonard et al.</t>
  </si>
  <si>
    <t xml:space="preserve">Science of The Total Environment </t>
  </si>
  <si>
    <t>1993 and 2012</t>
  </si>
  <si>
    <t>15 years</t>
  </si>
  <si>
    <t>Even-aged management</t>
  </si>
  <si>
    <t>1994 and 2012</t>
  </si>
  <si>
    <t>16 years</t>
  </si>
  <si>
    <t>-0.67</t>
  </si>
  <si>
    <t>Unmanaged vs managed forests</t>
  </si>
  <si>
    <t>Unmanaged</t>
  </si>
  <si>
    <t>49 papers with 197 comparisons</t>
  </si>
  <si>
    <t>Dieler et al.</t>
  </si>
  <si>
    <t>EJFR</t>
  </si>
  <si>
    <t>Spruce, fir, beech, oak</t>
  </si>
  <si>
    <t>Several types</t>
  </si>
  <si>
    <t>Mixed stands</t>
  </si>
  <si>
    <t xml:space="preserve">R = 0.13–3.39 </t>
  </si>
  <si>
    <t>clear relationship of compositional diversity with forest stand management</t>
  </si>
  <si>
    <t>Managed</t>
  </si>
  <si>
    <t>Pure stands/monocultures</t>
  </si>
  <si>
    <t>Climate change &amp; alternative manag. C</t>
  </si>
  <si>
    <t>Nature CC</t>
  </si>
  <si>
    <t>2021-2030</t>
  </si>
  <si>
    <t>EU28</t>
  </si>
  <si>
    <t>All european</t>
  </si>
  <si>
    <t>2021-30</t>
  </si>
  <si>
    <t>Climate change &amp; disturbance &amp; C</t>
  </si>
  <si>
    <t>Climate change &amp; alternative manag. biodiversity</t>
  </si>
  <si>
    <t>Climate change &amp; disturbance &amp; biodiversity</t>
  </si>
  <si>
    <t>Influence of disturbance</t>
  </si>
  <si>
    <t>-503.4 Tg</t>
  </si>
  <si>
    <t>Forest area reach 138.8·106 ha by the end of teh study period</t>
  </si>
  <si>
    <t>Release from management for 65 years</t>
  </si>
  <si>
    <t>Allen et al.</t>
  </si>
  <si>
    <t>1901-2005</t>
  </si>
  <si>
    <t>UK</t>
  </si>
  <si>
    <t>Lady Park Wood</t>
  </si>
  <si>
    <t>Beech, Oak, Ash, Lime</t>
  </si>
  <si>
    <t>nomanagement sice ca. 1900 and 1943</t>
  </si>
  <si>
    <t>old-growth</t>
  </si>
  <si>
    <t>8,5 kg m-2 over 65 y</t>
  </si>
  <si>
    <t>Release from management for 57 years</t>
  </si>
  <si>
    <t>young-growth</t>
  </si>
  <si>
    <t>9 kg m-2 over 57 y</t>
  </si>
  <si>
    <t>BAU vs no-intervention vs intensive management</t>
  </si>
  <si>
    <t>BAU</t>
  </si>
  <si>
    <t>Blujdea et al.</t>
  </si>
  <si>
    <t>Romania</t>
  </si>
  <si>
    <t>Beech, conifers, oak</t>
  </si>
  <si>
    <t>5036 mineral soil, CWD &amp; 1158 (litter)</t>
  </si>
  <si>
    <t>"+0.05"</t>
  </si>
  <si>
    <t>Harvesting entire increment</t>
  </si>
  <si>
    <t>5037 mineral soil, CWD &amp; 1158 (litter)</t>
  </si>
  <si>
    <t>"-0.1- -0.3"</t>
  </si>
  <si>
    <t>No-intervention</t>
  </si>
  <si>
    <t>5038 mineral soil, CWD &amp; 1158 (litter)</t>
  </si>
  <si>
    <t>"+0.18 - +0.35"</t>
  </si>
  <si>
    <t>BAU vs +20 % harvest &amp; afforestation vs -20%</t>
  </si>
  <si>
    <t>Pilli et al.</t>
  </si>
  <si>
    <t xml:space="preserve">Biogeosciences </t>
  </si>
  <si>
    <t>2012-2030</t>
  </si>
  <si>
    <t>EU</t>
  </si>
  <si>
    <t>26 EU countries</t>
  </si>
  <si>
    <t>126 Tg C yr-1</t>
  </si>
  <si>
    <t>BAU+20%</t>
  </si>
  <si>
    <t>101 Tg C yr-1</t>
  </si>
  <si>
    <t>151 Tg C yr-1</t>
  </si>
  <si>
    <t>Stem harvesting without removal of harvest residues</t>
  </si>
  <si>
    <t>Intensive vs extensive vs no- management (meta study) see under Harvesting</t>
  </si>
  <si>
    <t>Stem only harvesting</t>
  </si>
  <si>
    <t>140 articles/168 experimental forests</t>
  </si>
  <si>
    <t>2015b</t>
  </si>
  <si>
    <t>most in temperate in boreal</t>
  </si>
  <si>
    <t>Stem only</t>
  </si>
  <si>
    <t>Stem + harvesting residues</t>
  </si>
  <si>
    <t>tree growth was reduced by 3–7% in the short or medium term (up to 33 years after harvest</t>
  </si>
  <si>
    <t>Nitrogen addition / selection of species with N fixing</t>
  </si>
  <si>
    <t>Interplanting of N-Fixing Species vs control</t>
  </si>
  <si>
    <t>Melikov et al.</t>
  </si>
  <si>
    <t>Current Forestry Reports</t>
  </si>
  <si>
    <t>Plantations</t>
  </si>
  <si>
    <t>Inorganic NPK Fertilization vs control</t>
  </si>
  <si>
    <t>Management of tree species divesity/tree species selection</t>
  </si>
  <si>
    <t>Five density manipulating experiments</t>
  </si>
  <si>
    <t>D'Amato et al.</t>
  </si>
  <si>
    <t>USA, Great lakes</t>
  </si>
  <si>
    <t>P. resinosa, norhern hardwoods</t>
  </si>
  <si>
    <t>Sand, sandy loam, silt loam</t>
  </si>
  <si>
    <t>Different thinnig regimes</t>
  </si>
  <si>
    <t>1949-2010</t>
  </si>
  <si>
    <r>
      <rPr>
        <sz val="11"/>
        <color rgb="FF000000"/>
        <rFont val="Calibri"/>
        <family val="2"/>
      </rPr>
      <t xml:space="preserve">higher stocking levels resulted in decreases in stand-level structural and </t>
    </r>
    <r>
      <rPr>
        <b/>
        <sz val="11"/>
        <color rgb="FF000000"/>
        <rFont val="Calibri"/>
        <family val="2"/>
      </rPr>
      <t xml:space="preserve">compositional </t>
    </r>
    <r>
      <rPr>
        <sz val="11"/>
        <color rgb="FF000000"/>
        <rFont val="Calibri"/>
        <family val="2"/>
      </rPr>
      <t>complexity</t>
    </r>
  </si>
  <si>
    <t>53 comparisons</t>
  </si>
  <si>
    <t>-29 +153% gain of productivity in mixed stands</t>
  </si>
  <si>
    <t>Monoculture vs mixed-species stand</t>
  </si>
  <si>
    <t>Pretzsch &amp; Schütze</t>
  </si>
  <si>
    <t>42 triplets</t>
  </si>
  <si>
    <t>Spruce/beech, pine/beech, douglas/beech, spruce/pine</t>
  </si>
  <si>
    <t>Monocultures vs mixed species stands</t>
  </si>
  <si>
    <t>Higher density, sum of crown projections, productivity</t>
  </si>
  <si>
    <t xml:space="preserve">Collalti et al. </t>
  </si>
  <si>
    <t>Journal of Advances in Modeling Earth Systems</t>
  </si>
  <si>
    <t>Danemark</t>
  </si>
  <si>
    <t>Sorø</t>
  </si>
  <si>
    <t>Temperate European beech forest</t>
  </si>
  <si>
    <t>Mollisoil</t>
  </si>
  <si>
    <t>intensive even-aged approach</t>
  </si>
  <si>
    <t>1997-2099</t>
  </si>
  <si>
    <t>27-175</t>
  </si>
  <si>
    <t>Carbon stocks in woody components (i.e., standing plus harvested woody biomass)</t>
  </si>
  <si>
    <t>0 - control</t>
  </si>
  <si>
    <t>Czech Republic</t>
  </si>
  <si>
    <t>Bílý Kříž</t>
  </si>
  <si>
    <t>Norway Spruce stand</t>
  </si>
  <si>
    <t>Mesozoic Godulas sandstone</t>
  </si>
  <si>
    <t>31-144</t>
  </si>
  <si>
    <t>Finnland</t>
  </si>
  <si>
    <t>Hyytiälä</t>
  </si>
  <si>
    <t>Boreal Scots pine forest</t>
  </si>
  <si>
    <t>Podzol</t>
  </si>
  <si>
    <t>12-100</t>
  </si>
  <si>
    <t>Pretzsch &amp; Hilmers</t>
  </si>
  <si>
    <t>Southern Germany</t>
  </si>
  <si>
    <t>26 long-term thinning experiments</t>
  </si>
  <si>
    <t>Oak and beech sites</t>
  </si>
  <si>
    <t>Pseudogley, brown soil</t>
  </si>
  <si>
    <t>Thinning (D&amp;E grade)</t>
  </si>
  <si>
    <t>36-198</t>
  </si>
  <si>
    <t>1870-2022</t>
  </si>
  <si>
    <t>ca. 200 MG C ha-1 at 120 years</t>
  </si>
  <si>
    <t>No thinning (A&amp;B grade)</t>
  </si>
  <si>
    <t>ca. 300 MG C ha-1 at 120 years</t>
  </si>
  <si>
    <t>Thinning (C&amp;D grade)</t>
  </si>
  <si>
    <t>ca. 90 MG C ha-1 at 120 years</t>
  </si>
  <si>
    <t>ca. 140 MG C ha-1 at 170 years</t>
  </si>
  <si>
    <t>ca.  220 MG C ha-1 at 170 years</t>
  </si>
  <si>
    <t>ca. 100 MG C ha-1 at 140 years</t>
  </si>
  <si>
    <t>ca. 140 MG C ha-1 at 140 years</t>
  </si>
  <si>
    <t>Reduced thinning in previously thinned stands</t>
  </si>
  <si>
    <t>Spruce, pine, beech, oak</t>
  </si>
  <si>
    <t>+100-200 MG C ha-1 in 3-5 decades</t>
  </si>
  <si>
    <t>Thinning from above</t>
  </si>
  <si>
    <t>National forest inventory</t>
  </si>
  <si>
    <t>Bavarian NFI 2023</t>
  </si>
  <si>
    <t>Thinning vs control</t>
  </si>
  <si>
    <t>-34% in thinned</t>
  </si>
  <si>
    <t>Zhang et al.</t>
  </si>
  <si>
    <t>All (larger sample from temperate biom)</t>
  </si>
  <si>
    <t>1776 pairs</t>
  </si>
  <si>
    <t>only seven stands more than 50 years old, which is about 5% of the literature base</t>
  </si>
  <si>
    <t>+ 2.4 Mg ha-1 yr-1) thinned</t>
  </si>
  <si>
    <t xml:space="preserve"> </t>
  </si>
  <si>
    <t>Tthinning grade A</t>
  </si>
  <si>
    <t>Skovsgaard et al.</t>
  </si>
  <si>
    <t>Scandinavian Journal of Forest Research</t>
  </si>
  <si>
    <t>Tisted Nørskov</t>
  </si>
  <si>
    <t>Spruce plantation</t>
  </si>
  <si>
    <t>N. spruce</t>
  </si>
  <si>
    <t>glacial till with a texture of sandy loam</t>
  </si>
  <si>
    <t>41 and 58</t>
  </si>
  <si>
    <t>133 Mg ha-1</t>
  </si>
  <si>
    <t>88 Mg ha-1</t>
  </si>
  <si>
    <t>Tthinning grade B</t>
  </si>
  <si>
    <t>111 Mg ha-1</t>
  </si>
  <si>
    <t>91 Mg ha-1</t>
  </si>
  <si>
    <t>Tthinning grade C</t>
  </si>
  <si>
    <t>98 Mg ha-1</t>
  </si>
  <si>
    <t>89 Mg ha-1</t>
  </si>
  <si>
    <t>Tthinning grade D</t>
  </si>
  <si>
    <t>67 Mg ha-1</t>
  </si>
  <si>
    <t>90 Mg ha-1</t>
  </si>
  <si>
    <t>Hoover &amp; Stout</t>
  </si>
  <si>
    <t>Journal of Forestry</t>
  </si>
  <si>
    <t>USA</t>
  </si>
  <si>
    <t>Pennsylvania Allegheny hardwoods</t>
  </si>
  <si>
    <t>Cherry-maple stand</t>
  </si>
  <si>
    <t>Sugar maple, beech, black cherry, red maple</t>
  </si>
  <si>
    <t>unglaciated stony and sandy loams</t>
  </si>
  <si>
    <t>53 t acre-1</t>
  </si>
  <si>
    <t>0,53 tC ac-1</t>
  </si>
  <si>
    <t>Thin from below (noncommercial)</t>
  </si>
  <si>
    <t>55 t acre-1</t>
  </si>
  <si>
    <t>0,59 tC ac-1</t>
  </si>
  <si>
    <t>Thin from middle (commercial)</t>
  </si>
  <si>
    <t>47 t acre-1</t>
  </si>
  <si>
    <t>0,14 tC ac-1</t>
  </si>
  <si>
    <t>Thin from above (larger commercial)</t>
  </si>
  <si>
    <t>40 t acre-1</t>
  </si>
  <si>
    <t>-0,04 tC ac-1</t>
  </si>
  <si>
    <t>Herbivore exclusion</t>
  </si>
  <si>
    <t>Rozman et al.</t>
  </si>
  <si>
    <t>Kocevje</t>
  </si>
  <si>
    <t>45,4101000N, 14,5002200E</t>
  </si>
  <si>
    <t>Abieti-Fagetum</t>
  </si>
  <si>
    <t>calcocambisol</t>
  </si>
  <si>
    <t>higher, more broadleaves</t>
  </si>
  <si>
    <t>Loef et al.</t>
  </si>
  <si>
    <t>2014-2018</t>
  </si>
  <si>
    <t>boreal/transiton</t>
  </si>
  <si>
    <t>Sweden</t>
  </si>
  <si>
    <t>39 vs 65 cm height</t>
  </si>
  <si>
    <t>Tanentzap &amp; Coomes</t>
  </si>
  <si>
    <t>Biological reviews</t>
  </si>
  <si>
    <t>all</t>
  </si>
  <si>
    <t>worldwide - 52 forest types</t>
  </si>
  <si>
    <t>108 studies</t>
  </si>
  <si>
    <t>three orders of magnitude less than many of the natural and human-influenced sources</t>
  </si>
  <si>
    <t>Bressette &amp; Beck</t>
  </si>
  <si>
    <t xml:space="preserve">Environmental Research Journal </t>
  </si>
  <si>
    <t>Virginia, USA</t>
  </si>
  <si>
    <t>Posey, Keyser Run, Hilltop</t>
  </si>
  <si>
    <t>oak-hickory</t>
  </si>
  <si>
    <t>n = 9 samples per plot</t>
  </si>
  <si>
    <t>unfenced</t>
  </si>
  <si>
    <t>saplings</t>
  </si>
  <si>
    <t>11 months</t>
  </si>
  <si>
    <t>37.6</t>
  </si>
  <si>
    <t>fenced</t>
  </si>
  <si>
    <t>73.0</t>
  </si>
  <si>
    <t>Herbivore impact in relation to human presence</t>
  </si>
  <si>
    <t>Nicola et al.</t>
  </si>
  <si>
    <t>Global Ecology and Conservation</t>
  </si>
  <si>
    <t>Netherlands</t>
  </si>
  <si>
    <t>ungulates impact carbon stocks of forests, this impact is affected by human presence through the proximity to human trails</t>
  </si>
  <si>
    <t>Herbivore predation</t>
  </si>
  <si>
    <t>Wilmers &amp; Schmitz</t>
  </si>
  <si>
    <t xml:space="preserve">Ecosphere </t>
  </si>
  <si>
    <t>boreal</t>
  </si>
  <si>
    <t>Canada</t>
  </si>
  <si>
    <t>Isle Royale</t>
  </si>
  <si>
    <t>boreal forest</t>
  </si>
  <si>
    <t>effects of predation by gray wolf</t>
  </si>
  <si>
    <t>24.0–52.0 g C·m−2·yr−1</t>
  </si>
  <si>
    <t>Herbovore impact</t>
  </si>
  <si>
    <t>Champagne et al.</t>
  </si>
  <si>
    <t>boreal and temperate forests</t>
  </si>
  <si>
    <t>Climate‑adapted forest management and ungulates</t>
  </si>
  <si>
    <t>65% of papers browsing as a threat to adaptation</t>
  </si>
  <si>
    <t>Managing fuel / prescribed burning / fire management</t>
  </si>
  <si>
    <t>Managing risks / C loss due to natural disturbance</t>
  </si>
  <si>
    <t>all types</t>
  </si>
  <si>
    <r>
      <t>Mg C ha</t>
    </r>
    <r>
      <rPr>
        <vertAlign val="superscript"/>
        <sz val="12"/>
        <color theme="1"/>
        <rFont val="Calibri (Corpo)"/>
      </rPr>
      <t>-1</t>
    </r>
  </si>
  <si>
    <t>AGB</t>
  </si>
  <si>
    <t>Afforestation bare fallow</t>
  </si>
  <si>
    <t>Tupek et al.</t>
  </si>
  <si>
    <t>Boreal</t>
  </si>
  <si>
    <t>Finland</t>
  </si>
  <si>
    <t>South</t>
  </si>
  <si>
    <t>Norway spruce</t>
  </si>
  <si>
    <t>North-East</t>
  </si>
  <si>
    <t>North-West</t>
  </si>
  <si>
    <t>Afforestation of extensified fallow</t>
  </si>
  <si>
    <t>Afforestation of grassland</t>
  </si>
  <si>
    <t>Broadleaved</t>
  </si>
  <si>
    <t xml:space="preserve">Birch </t>
  </si>
  <si>
    <t xml:space="preserve">Petaja et al. </t>
  </si>
  <si>
    <t>Plants</t>
  </si>
  <si>
    <t xml:space="preserve">Temperate </t>
  </si>
  <si>
    <t>Latvia</t>
  </si>
  <si>
    <t>Scots pine</t>
  </si>
  <si>
    <t xml:space="preserve">Strand et al. </t>
  </si>
  <si>
    <t>Landscape and Urban Planning</t>
  </si>
  <si>
    <t xml:space="preserve">Boreal </t>
  </si>
  <si>
    <t>Norway</t>
  </si>
  <si>
    <t>Haugset</t>
  </si>
  <si>
    <t>63 48</t>
  </si>
  <si>
    <t>11 51</t>
  </si>
  <si>
    <t xml:space="preserve">Rahman et al. </t>
  </si>
  <si>
    <t>Vestskoven</t>
  </si>
  <si>
    <t>55°70′N</t>
  </si>
  <si>
    <t>12°35′E</t>
  </si>
  <si>
    <t>Deciduous</t>
  </si>
  <si>
    <t>0,5% (SOC content)</t>
  </si>
  <si>
    <t>1% (SOC content)</t>
  </si>
  <si>
    <t>1,7% (SOC content)</t>
  </si>
  <si>
    <t>review</t>
  </si>
  <si>
    <t>Barcena et al.</t>
  </si>
  <si>
    <t>Global change biology</t>
  </si>
  <si>
    <t>Boreal - Temperate</t>
  </si>
  <si>
    <t>Nordic - Baltic</t>
  </si>
  <si>
    <t>&gt;30</t>
  </si>
  <si>
    <t>Afforestation heathland</t>
  </si>
  <si>
    <t>Eze et al.</t>
  </si>
  <si>
    <t>Science of Total Environment</t>
  </si>
  <si>
    <t>Temperate mostly</t>
  </si>
  <si>
    <t>"5-30"</t>
  </si>
  <si>
    <t>(52,5% over 1-30 y)</t>
  </si>
  <si>
    <t>Ash fertilisation</t>
  </si>
  <si>
    <t xml:space="preserve">Jansone et al. </t>
  </si>
  <si>
    <t>Sustainability</t>
  </si>
  <si>
    <r>
      <rPr>
        <sz val="10"/>
        <color rgb="FF000000"/>
        <rFont val="URWPalladioL"/>
      </rPr>
      <t>56</t>
    </r>
    <r>
      <rPr>
        <sz val="8"/>
        <color rgb="FF000000"/>
        <rFont val="Pxsy"/>
      </rPr>
      <t>◦</t>
    </r>
    <r>
      <rPr>
        <sz val="10"/>
        <color rgb="FF000000"/>
        <rFont val="URWPalladioL"/>
      </rPr>
      <t>42’</t>
    </r>
  </si>
  <si>
    <t>25◦50’ E.</t>
  </si>
  <si>
    <t>Norway spruce &amp; Scots pine</t>
  </si>
  <si>
    <t>0-10</t>
  </si>
  <si>
    <t>height increase with seedlings that fertilisated before planting</t>
  </si>
  <si>
    <t>Ojanen et al.</t>
  </si>
  <si>
    <t>Forest ecology and management</t>
  </si>
  <si>
    <t>Norway spruce &amp; Scots pine, 4 sites fertilized</t>
  </si>
  <si>
    <t>20-50</t>
  </si>
  <si>
    <t>Fertilisation</t>
  </si>
  <si>
    <t>Optimal fertilisation</t>
  </si>
  <si>
    <t xml:space="preserve">Sundert et al. </t>
  </si>
  <si>
    <t>Europen Journal of Forest Research</t>
  </si>
  <si>
    <t>64° 07′ N</t>
  </si>
  <si>
    <t>19° 27′ E</t>
  </si>
  <si>
    <t>1,1% (SOC content)</t>
  </si>
  <si>
    <t>0,26% (SOC content)</t>
  </si>
  <si>
    <t>PK</t>
  </si>
  <si>
    <t xml:space="preserve">Moilanen et al. </t>
  </si>
  <si>
    <t>Silva Fennica</t>
  </si>
  <si>
    <t>64°41´N</t>
  </si>
  <si>
    <t xml:space="preserve"> 25°07´E</t>
  </si>
  <si>
    <t>PK+N</t>
  </si>
  <si>
    <t>ApaBio</t>
  </si>
  <si>
    <t>ApaBio + N</t>
  </si>
  <si>
    <t>Ash + N fertilisation</t>
  </si>
  <si>
    <t>Ash fertilisation, site 3</t>
  </si>
  <si>
    <t>64°30′N</t>
  </si>
  <si>
    <t>26°19′E</t>
  </si>
  <si>
    <t>Ash fertilisation, site 4</t>
  </si>
  <si>
    <t xml:space="preserve">64°30′N, </t>
  </si>
  <si>
    <t>Nitrogen</t>
  </si>
  <si>
    <t>Hanssen et al.</t>
  </si>
  <si>
    <t>Forestry</t>
  </si>
  <si>
    <t>59.56◦ N</t>
  </si>
  <si>
    <t>10.95◦ E</t>
  </si>
  <si>
    <t>Ash + nitrogen fertilisation</t>
  </si>
  <si>
    <t>Ash fertilisation (loose ash)</t>
  </si>
  <si>
    <t>Hytönen et al.</t>
  </si>
  <si>
    <t>63°53´N,</t>
  </si>
  <si>
    <t xml:space="preserve"> 23°45´E</t>
  </si>
  <si>
    <t>Ash fertilisation (granulated ash)</t>
  </si>
  <si>
    <t xml:space="preserve">63°54´N, </t>
  </si>
  <si>
    <t>24°27´E</t>
  </si>
  <si>
    <t>Restoration, CO2</t>
  </si>
  <si>
    <t xml:space="preserve">Laudon et al. </t>
  </si>
  <si>
    <t>Scientific reports</t>
  </si>
  <si>
    <t xml:space="preserve">64°10´N, </t>
  </si>
  <si>
    <t>19°51´E</t>
  </si>
  <si>
    <t>"-7.3 (change in NEE)"</t>
  </si>
  <si>
    <t>Restoration increase CO2 and CH4 emissions</t>
  </si>
  <si>
    <t>Restoration, CH4</t>
  </si>
  <si>
    <t>"-1.5 Mg CO2 eq loss"</t>
  </si>
  <si>
    <t>Clear-cut</t>
  </si>
  <si>
    <t>Tong et al.</t>
  </si>
  <si>
    <t>60◦15′54′′N</t>
  </si>
  <si>
    <t>17◦37′00′′E</t>
  </si>
  <si>
    <t>Norway spruce and some birch</t>
  </si>
  <si>
    <t xml:space="preserve">Mander et al. </t>
  </si>
  <si>
    <t>Variable</t>
  </si>
  <si>
    <t>long</t>
  </si>
  <si>
    <t xml:space="preserve">Continuous cover forestry </t>
  </si>
  <si>
    <t>Peltoniemi et al.</t>
  </si>
  <si>
    <t>multiple</t>
  </si>
  <si>
    <t xml:space="preserve">for peat layer </t>
  </si>
  <si>
    <t>Not cleaning ditches, CH4</t>
  </si>
  <si>
    <t xml:space="preserve">Rissanen et al. </t>
  </si>
  <si>
    <t>Frontiers in Environmental Science</t>
  </si>
  <si>
    <t>CH4 converted to CO2 eqs.</t>
  </si>
  <si>
    <t>area of ditch here</t>
  </si>
  <si>
    <t>Clear-cut, drained peatland</t>
  </si>
  <si>
    <t>Butlers et al.</t>
  </si>
  <si>
    <t>Hemiboreal</t>
  </si>
  <si>
    <t>Norway spruce and some birch + alder</t>
  </si>
  <si>
    <t xml:space="preserve">chamber based study </t>
  </si>
  <si>
    <t>Clear-cut, undrained peatland</t>
  </si>
  <si>
    <t>Clear-cut, drained peatland 1 year</t>
  </si>
  <si>
    <t xml:space="preserve">Korkiakoski et al. </t>
  </si>
  <si>
    <t>Agricultural and Forest Meteorology i</t>
  </si>
  <si>
    <t>60° 38′ 31′’ N</t>
  </si>
  <si>
    <t>23° 57′ 35′’ E</t>
  </si>
  <si>
    <t>Clear-cut, drained peatland 2 year</t>
  </si>
  <si>
    <t>Clear-cut, drained peatland 3 year</t>
  </si>
  <si>
    <t>Clear-cut, drained peatland 4 year</t>
  </si>
  <si>
    <t>Clear-cut, drained peatland 5 year</t>
  </si>
  <si>
    <t>Clear-cut, drained peatland 6 year</t>
  </si>
  <si>
    <t xml:space="preserve">Lehtonen et al. </t>
  </si>
  <si>
    <t>Afforestation of a cutaway peatland, planted</t>
  </si>
  <si>
    <t>Aro et al.</t>
  </si>
  <si>
    <t>64°43´N</t>
  </si>
  <si>
    <t xml:space="preserve"> 25°17´E</t>
  </si>
  <si>
    <t>Afforestation of a cutaway peatland, seeded</t>
  </si>
  <si>
    <t>Koskinen et al.</t>
  </si>
  <si>
    <t>61.24 °N</t>
  </si>
  <si>
    <t xml:space="preserve">25.06 °E, </t>
  </si>
  <si>
    <t>Norway spruce and birch</t>
  </si>
  <si>
    <t>"11-17"</t>
  </si>
  <si>
    <t>NOTE unit mg CH4
m-2 d-1)</t>
  </si>
  <si>
    <t>Drained peatland, CH4</t>
  </si>
  <si>
    <t>Restoration, nutrient poor, CO2</t>
  </si>
  <si>
    <t>Scandinavia</t>
  </si>
  <si>
    <t>Restoration, peat extraction, CO2</t>
  </si>
  <si>
    <t>Restoration, peat extraction, CH4</t>
  </si>
  <si>
    <t>Longer rotation</t>
  </si>
  <si>
    <t xml:space="preserve">Peichl et al. </t>
  </si>
  <si>
    <t xml:space="preserve">64°14′ N, </t>
  </si>
  <si>
    <t>19°46′ E;</t>
  </si>
  <si>
    <t>Scots pine and Norway spruce</t>
  </si>
  <si>
    <t>NEP, cumulative includes soils</t>
  </si>
  <si>
    <t>Longer rotation, pine north</t>
  </si>
  <si>
    <t>Akujärvi et al.</t>
  </si>
  <si>
    <t>Environmental Research Letters</t>
  </si>
  <si>
    <t xml:space="preserve">66.29°N; </t>
  </si>
  <si>
    <t>29.24°E</t>
  </si>
  <si>
    <t xml:space="preserve">Scots pine </t>
  </si>
  <si>
    <t>instead of 45</t>
  </si>
  <si>
    <t>NPP difference beween BAU and longer rotation</t>
  </si>
  <si>
    <t>Longer rotation, pine south</t>
  </si>
  <si>
    <t xml:space="preserve">61.2°N; </t>
  </si>
  <si>
    <t>25.1°E</t>
  </si>
  <si>
    <t>Longer rotation, spruce north</t>
  </si>
  <si>
    <t xml:space="preserve">66.3°N; </t>
  </si>
  <si>
    <t>29.4°E</t>
  </si>
  <si>
    <t>Longer rotation, spruce south</t>
  </si>
  <si>
    <t>Longer rotation, spruce G06G08</t>
  </si>
  <si>
    <t xml:space="preserve">Stokland et al. </t>
  </si>
  <si>
    <t>instead of 100</t>
  </si>
  <si>
    <t>Longer rotation, spruce G11G14</t>
  </si>
  <si>
    <t>Longer rotation, spruce G17G20</t>
  </si>
  <si>
    <t>Longer rotation, pine F06F08</t>
  </si>
  <si>
    <t>Longer rotation, pine F11F14</t>
  </si>
  <si>
    <t>Longer rotation, pine F17F20</t>
  </si>
  <si>
    <t>Longer rotation, landscape 10y</t>
  </si>
  <si>
    <t xml:space="preserve">Trivino et al. </t>
  </si>
  <si>
    <t>Longer rotation, lanscape 30y</t>
  </si>
  <si>
    <t>Tree species selection</t>
  </si>
  <si>
    <t xml:space="preserve">Steffens et al. </t>
  </si>
  <si>
    <t>Europen Journal of Soil Science</t>
  </si>
  <si>
    <t>55°N</t>
  </si>
  <si>
    <t>9°-12°E</t>
  </si>
  <si>
    <t>Ash</t>
  </si>
  <si>
    <t>Maple</t>
  </si>
  <si>
    <t>Adding mixture, birch to spruce 50%</t>
  </si>
  <si>
    <t xml:space="preserve">Shanin et al. </t>
  </si>
  <si>
    <t>increase in yield</t>
  </si>
  <si>
    <t>Adding mixture, pine to spruce 50%</t>
  </si>
  <si>
    <t>Conifer mixed</t>
  </si>
  <si>
    <t>Adding mixture, birch to pine 50%</t>
  </si>
  <si>
    <t>Adding mixture</t>
  </si>
  <si>
    <t>Pretzsch et al</t>
  </si>
  <si>
    <t>Canadian journal of Forest Research</t>
  </si>
  <si>
    <t xml:space="preserve">Germany </t>
  </si>
  <si>
    <t>50-100</t>
  </si>
  <si>
    <t xml:space="preserve">Higher density </t>
  </si>
  <si>
    <t>Kjonaas et al</t>
  </si>
  <si>
    <t xml:space="preserve">Norway </t>
  </si>
  <si>
    <t>61-63°N</t>
  </si>
  <si>
    <t>6°-7°E</t>
  </si>
  <si>
    <t>Birch</t>
  </si>
  <si>
    <t xml:space="preserve">Spruce pine mixture </t>
  </si>
  <si>
    <t xml:space="preserve">Huuskonen et al. </t>
  </si>
  <si>
    <t>Norway spruce and Scots pine mixture</t>
  </si>
  <si>
    <t>Increases productivity with fertile soils especially in Northern 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</si>
</sst>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"/>
    <numFmt numFmtId="166" formatCode="0.0000000"/>
  </numFmts>
  <fonts count="3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2"/>
      <color theme="1"/>
      <name val="Calibri (Corpo)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  <font>
      <sz val="11"/>
      <color rgb="FF444444"/>
      <name val="Calibri"/>
      <family val="2"/>
      <charset val="1"/>
    </font>
    <font>
      <sz val="10"/>
      <color rgb="FF000000"/>
      <name val="Arial"/>
      <family val="2"/>
    </font>
    <font>
      <i/>
      <sz val="12"/>
      <color rgb="FF000000"/>
      <name val="Calibri"/>
      <family val="2"/>
      <charset val="238"/>
    </font>
    <font>
      <sz val="12"/>
      <color rgb="FF000000"/>
      <name val="AdvOT596495F2"/>
      <charset val="1"/>
    </font>
    <font>
      <sz val="10"/>
      <color rgb="FF000000"/>
      <name val="URWPalladioL"/>
      <charset val="1"/>
    </font>
    <font>
      <sz val="10"/>
      <color rgb="FF000000"/>
      <name val="URWPalladioL"/>
    </font>
    <font>
      <sz val="8"/>
      <color rgb="FF000000"/>
      <name val="Pxsy"/>
    </font>
    <font>
      <sz val="12"/>
      <color rgb="FF1F1F1F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1F1F"/>
      <name val="ElsevierGulliver"/>
      <charset val="1"/>
    </font>
    <font>
      <sz val="10"/>
      <color rgb="FF222222"/>
      <name val="Arial"/>
      <charset val="1"/>
    </font>
    <font>
      <i/>
      <sz val="10"/>
      <color rgb="FF222222"/>
      <name val="Arial"/>
      <charset val="1"/>
    </font>
    <font>
      <i/>
      <sz val="12"/>
      <color rgb="FF000000"/>
      <name val="Calibri"/>
      <family val="2"/>
    </font>
    <font>
      <sz val="12"/>
      <color rgb="FF1F1F1F"/>
      <name val="ElsevierGulliver"/>
      <charset val="1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1" fontId="1" fillId="2" borderId="0" xfId="0" applyNumberFormat="1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5" fillId="3" borderId="0" xfId="0" applyFont="1" applyFill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6" fontId="0" fillId="0" borderId="0" xfId="0" applyNumberForma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9" fillId="0" borderId="0" xfId="0" applyFont="1"/>
    <xf numFmtId="0" fontId="9" fillId="0" borderId="0" xfId="0" quotePrefix="1" applyFont="1"/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13" fillId="0" borderId="0" xfId="0" applyFont="1"/>
    <xf numFmtId="10" fontId="0" fillId="0" borderId="0" xfId="0" applyNumberFormat="1"/>
    <xf numFmtId="0" fontId="14" fillId="0" borderId="0" xfId="0" applyFont="1" applyAlignment="1">
      <alignment wrapText="1"/>
    </xf>
    <xf numFmtId="0" fontId="11" fillId="0" borderId="0" xfId="0" applyFont="1"/>
    <xf numFmtId="17" fontId="0" fillId="0" borderId="0" xfId="0" applyNumberFormat="1"/>
    <xf numFmtId="0" fontId="15" fillId="0" borderId="0" xfId="0" applyFont="1" applyAlignment="1">
      <alignment wrapText="1"/>
    </xf>
    <xf numFmtId="0" fontId="0" fillId="4" borderId="0" xfId="0" applyFill="1"/>
    <xf numFmtId="0" fontId="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9" fillId="4" borderId="0" xfId="0" applyFont="1" applyFill="1"/>
    <xf numFmtId="0" fontId="12" fillId="4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/>
    <xf numFmtId="165" fontId="0" fillId="0" borderId="0" xfId="0" applyNumberFormat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5" borderId="1" xfId="0" applyFont="1" applyFill="1" applyBorder="1"/>
    <xf numFmtId="0" fontId="6" fillId="5" borderId="1" xfId="0" applyFont="1" applyFill="1" applyBorder="1"/>
    <xf numFmtId="0" fontId="0" fillId="5" borderId="1" xfId="0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0" fontId="6" fillId="5" borderId="0" xfId="0" applyFont="1" applyFill="1"/>
    <xf numFmtId="0" fontId="0" fillId="5" borderId="0" xfId="0" applyFill="1" applyAlignment="1">
      <alignment horizontal="center"/>
    </xf>
    <xf numFmtId="0" fontId="9" fillId="5" borderId="0" xfId="0" applyFont="1" applyFill="1" applyAlignment="1">
      <alignment horizontal="center"/>
    </xf>
    <xf numFmtId="0" fontId="0" fillId="5" borderId="0" xfId="0" applyFill="1" applyAlignment="1">
      <alignment horizontal="center" wrapText="1"/>
    </xf>
    <xf numFmtId="0" fontId="18" fillId="0" borderId="0" xfId="0" applyFont="1"/>
    <xf numFmtId="10" fontId="0" fillId="4" borderId="0" xfId="0" applyNumberFormat="1" applyFill="1"/>
    <xf numFmtId="17" fontId="0" fillId="4" borderId="0" xfId="0" applyNumberFormat="1" applyFill="1"/>
    <xf numFmtId="0" fontId="0" fillId="0" borderId="0" xfId="0" applyAlignment="1">
      <alignment wrapText="1"/>
    </xf>
    <xf numFmtId="0" fontId="20" fillId="0" borderId="0" xfId="0" applyFont="1"/>
    <xf numFmtId="9" fontId="0" fillId="0" borderId="0" xfId="0" applyNumberFormat="1"/>
    <xf numFmtId="0" fontId="20" fillId="7" borderId="0" xfId="0" applyFont="1" applyFill="1"/>
    <xf numFmtId="0" fontId="9" fillId="7" borderId="0" xfId="0" applyFont="1" applyFill="1"/>
    <xf numFmtId="0" fontId="21" fillId="7" borderId="0" xfId="0" applyFont="1" applyFill="1"/>
    <xf numFmtId="0" fontId="0" fillId="0" borderId="0" xfId="0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 wrapText="1"/>
    </xf>
    <xf numFmtId="0" fontId="0" fillId="0" borderId="0" xfId="0" quotePrefix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6" fillId="0" borderId="0" xfId="0" applyFont="1" applyAlignment="1">
      <alignment horizontal="center" vertical="center"/>
    </xf>
    <xf numFmtId="0" fontId="28" fillId="0" borderId="0" xfId="0" applyFont="1"/>
    <xf numFmtId="0" fontId="9" fillId="6" borderId="0" xfId="0" applyFont="1" applyFill="1"/>
    <xf numFmtId="0" fontId="19" fillId="0" borderId="0" xfId="0" applyFont="1"/>
    <xf numFmtId="0" fontId="19" fillId="6" borderId="0" xfId="0" applyFont="1" applyFill="1"/>
    <xf numFmtId="0" fontId="29" fillId="0" borderId="0" xfId="0" applyFont="1"/>
    <xf numFmtId="0" fontId="30" fillId="0" borderId="0" xfId="0" applyFont="1"/>
    <xf numFmtId="166" fontId="0" fillId="0" borderId="0" xfId="0" applyNumberFormat="1" applyAlignment="1">
      <alignment horizontal="center"/>
    </xf>
    <xf numFmtId="0" fontId="6" fillId="4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maso.chiti" id="{D5BE7DD9-7AEC-47DE-830E-A05A4FC6DEA5}" userId="S::tommaso.chiti_unitus.it#ext#@efiint.onmicrosoft.com::63f9d83c-ae90-42f4-86af-3238881a6266" providerId="AD"/>
  <person displayName="Diaci, Jurij" id="{37C06E12-1720-42D4-A13A-C56C12862D2C}" userId="S::jurij.diaci_bf.uni-lj.si#ext#@efiint.onmicrosoft.com::5d30f380-4725-4bcf-ae3c-be64f690d6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3" dT="2023-11-21T13:47:08.88" personId="{D5BE7DD9-7AEC-47DE-830E-A05A4FC6DEA5}" id="{F2E6CDD7-2773-4D4E-9BBD-9CC34C82083E}">
    <text>reference depth for the SOC sequestration rate</text>
  </threadedComment>
  <threadedComment ref="AA80" dT="2023-11-21T13:47:08.88" personId="{D5BE7DD9-7AEC-47DE-830E-A05A4FC6DEA5}" id="{DE7BEE48-FED4-43B1-BA14-449A53F15107}">
    <text>reference depth for the SOC sequestration rate</text>
  </threadedComment>
  <threadedComment ref="AA132" dT="2023-11-21T13:47:08.88" personId="{D5BE7DD9-7AEC-47DE-830E-A05A4FC6DEA5}" id="{BB29A4FE-CC54-4C9C-91C5-61070705F6DF}">
    <text>reference depth for the SOC sequestration rate</text>
  </threadedComment>
  <threadedComment ref="AA182" dT="2023-11-21T13:47:08.88" personId="{D5BE7DD9-7AEC-47DE-830E-A05A4FC6DEA5}" id="{C506A538-ADE8-441D-A6F4-4B8973C7F93A}">
    <text>reference depth for the SOC sequestration rate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A3" dT="2023-11-21T13:47:08.88" personId="{D5BE7DD9-7AEC-47DE-830E-A05A4FC6DEA5}" id="{73731CB5-25E7-4372-BE48-A1EE4A3B2231}">
    <text>reference depth for the SOC sequestration rate</text>
  </threadedComment>
  <threadedComment ref="Y60" dT="2023-12-07T20:27:56.26" personId="{37C06E12-1720-42D4-A13A-C56C12862D2C}" id="{DF1366DE-CC88-4BE6-91FF-7912EB3B2EE8}">
    <text>1m3/ha/yr more sanitary fellings compred to Plenterwald</text>
  </threadedComment>
  <threadedComment ref="S62" dT="2024-01-22T10:12:06.23" personId="{37C06E12-1720-42D4-A13A-C56C12862D2C}" id="{C201FFB7-1E77-4F06-8B36-C1DEC73F690C}">
    <text>random selection of 2045 cells/vertices based on the 1x1 km grid</text>
  </threadedComment>
  <threadedComment ref="Y62" dT="2024-01-22T10:21:08.77" personId="{37C06E12-1720-42D4-A13A-C56C12862D2C}" id="{D9987C79-6BD4-4F97-B871-3764A240F634}">
    <text>-0,17 m3/ha/year</text>
  </threadedComment>
  <threadedComment ref="S63" dT="2024-01-22T10:12:06.23" personId="{37C06E12-1720-42D4-A13A-C56C12862D2C}" id="{7E9FECC1-41CF-4D12-A278-9836A9913846}">
    <text>random selection of 2045 cells/vertices based on the 1x1 km grid</text>
  </threadedComment>
  <threadedComment ref="Y63" dT="2024-01-22T10:21:08.77" personId="{37C06E12-1720-42D4-A13A-C56C12862D2C}" id="{F0DADEA0-1888-4726-B7D3-9EA2FBEA2972}">
    <text>-0,17 m3/ha/year</text>
  </threadedComment>
  <threadedComment ref="Y64" dT="2024-01-22T10:21:08.77" personId="{37C06E12-1720-42D4-A13A-C56C12862D2C}" id="{BA5C0B32-7902-4ACA-9373-D9D2A5A71681}">
    <text>-0,17 m3/ha/year</text>
  </threadedComment>
  <threadedComment ref="Y66" dT="2024-01-22T17:25:50.79" personId="{37C06E12-1720-42D4-A13A-C56C12862D2C}" id="{10273A64-9B97-47B0-8586-B23DD245750F}">
    <text>globally average deviation biomass carrying capacity and observed biomass is 0.3 Mg biomass/ha or 15% over current levels</text>
  </threadedComment>
  <threadedComment ref="W73" dT="2024-01-30T11:01:00.19" personId="{37C06E12-1720-42D4-A13A-C56C12862D2C}" id="{4EC5F0F7-B711-4C40-AC55-0A96A74AC1E2}">
    <text>in monospecific stands over the production cycle</text>
  </threadedComment>
  <threadedComment ref="X75" dT="2024-01-24T07:46:19.32" personId="{37C06E12-1720-42D4-A13A-C56C12862D2C}" id="{AD6EBF84-B1C6-4147-85E5-3172E6E408F1}">
    <text>in the F layer for clear-cutting and thinning aparent for &gt; 20 years (much less in deeper horizons)</text>
  </threadedComment>
  <threadedComment ref="X76" dT="2024-01-24T07:46:19.32" personId="{37C06E12-1720-42D4-A13A-C56C12862D2C}" id="{584CA163-EF97-4155-B038-BCA9F753F699}">
    <text>in the F layer</text>
  </threadedComment>
  <threadedComment ref="X79" dT="2024-01-25T10:19:56.64" personId="{37C06E12-1720-42D4-A13A-C56C12862D2C}" id="{6BA683EE-47A1-4742-9F80-533308D19BF5}">
    <text>SOC sequestration rate declines with stand age and is higher in uneven-aged stands, thus potential of forest management</text>
  </threadedComment>
  <threadedComment ref="W82" dT="2024-02-05T19:45:29.53" personId="{37C06E12-1720-42D4-A13A-C56C12862D2C}" id="{9AB44A36-6A1C-4F7F-8538-7A3573CF3B5B}">
    <text>in Tg C relative to reference management</text>
  </threadedComment>
  <threadedComment ref="Y86" dT="2023-12-14T07:28:30.81" personId="{37C06E12-1720-42D4-A13A-C56C12862D2C}" id="{17A8311E-07AA-49DD-A704-A7B05A150AD7}">
    <text>Expected decrease due to disturbances by wind, bark beetles and forest fires</text>
  </threadedComment>
  <threadedComment ref="Z90" dT="2024-02-14T12:21:49.60" personId="{37C06E12-1720-42D4-A13A-C56C12862D2C}" id="{76F1163D-76EA-495B-BF94-24D56B774272}">
    <text>- 0.1 CBM model and -0.3 Yasso15</text>
  </threadedComment>
  <threadedComment ref="Y92" dT="2024-02-16T12:48:58.18" personId="{37C06E12-1720-42D4-A13A-C56C12862D2C}" id="{BB8D1C86-BEB5-477D-865A-4975ACF8CFD5}">
    <text>carbon stock changes in the
forest pools plus + HWP (138 M ha)</text>
  </threadedComment>
  <threadedComment ref="W103" dT="2024-01-29T17:17:06.84" personId="{37C06E12-1720-42D4-A13A-C56C12862D2C}" id="{78D8AC50-01A0-4F37-91E7-AB9228AC0E54}">
    <text xml:space="preserve">Increase with stand age by 3.6% per year </text>
  </threadedComment>
  <threadedComment ref="W104" dT="2024-01-29T17:17:06.84" personId="{37C06E12-1720-42D4-A13A-C56C12862D2C}" id="{DEBD0E78-604F-416B-898E-BF72DBB0452C}">
    <text>benefit of inorganic fertilizers on aboveground carbon significantly decline through time and fertilized stands were net emitters when accounted for in-field and upstream fertilizer emissions</text>
  </threadedComment>
  <threadedComment ref="W114" dT="2023-12-14T08:32:49.66" personId="{37C06E12-1720-42D4-A13A-C56C12862D2C}" id="{7F2D0736-91DD-4F6F-A2E2-5B295901291C}">
    <text>= t C/ha</text>
  </threadedComment>
  <threadedComment ref="AA114" dT="2023-12-14T07:45:08.82" personId="{37C06E12-1720-42D4-A13A-C56C12862D2C}" id="{2F0B1390-ECB9-4B1F-AB38-57562FDF6DF6}">
    <text>autotrophic carbon sequestration
decreases with forest development, and the decrease is faster with warming and in unthinned forests / the combined impacts of climate change and changing CO2 concentrations lead the forests to
grow faster, mature earlier, and also die younger</text>
  </threadedComment>
  <threadedComment ref="W128" dT="2024-02-07T08:05:52.07" personId="{37C06E12-1720-42D4-A13A-C56C12862D2C}" id="{8F70A7A1-C03D-44B1-A972-352945B1FEA2}">
    <text>compared to BAU</text>
  </threadedComment>
  <threadedComment ref="W130" dT="2024-01-29T17:27:20.59" personId="{37C06E12-1720-42D4-A13A-C56C12862D2C}" id="{B9941520-B9A0-4149-8670-D08E831C38D3}">
    <text>For every additional year since the treatment, the effect size of thinning decreased by 4.6%</text>
  </threadedComment>
  <threadedComment ref="W132" dT="2024-01-30T13:14:56.43" personId="{37C06E12-1720-42D4-A13A-C56C12862D2C}" id="{AFE7DBB1-8BF8-42AE-AF7D-7D694730F986}">
    <text>stems</text>
  </threadedComment>
  <threadedComment ref="X132" dT="2024-01-30T13:17:10.51" personId="{37C06E12-1720-42D4-A13A-C56C12862D2C}" id="{6B6C92F7-0313-4423-8621-662527B8BF62}">
    <text>Total soil carbon (floor and minera soil 0-30 cm.</text>
  </threadedComment>
  <threadedComment ref="W136" dT="2024-01-30T17:02:23.59" personId="{37C06E12-1720-42D4-A13A-C56C12862D2C}" id="{96888FF8-E68F-4FA4-8C16-A72C7D46D8D1}">
    <text>Total C = live+dead+slash+products</text>
  </threadedComment>
  <threadedComment ref="X145" dT="2024-01-25T17:06:44.51" personId="{37C06E12-1720-42D4-A13A-C56C12862D2C}" id="{9F759C78-104D-4E1E-A79D-A1DEADBBD8C1}">
    <text>kg ha -1 of ABG+SOC of saplings</text>
  </threadedComment>
  <threadedComment ref="Y160" dT="2023-12-14T07:28:30.81" personId="{37C06E12-1720-42D4-A13A-C56C12862D2C}" id="{9F16B6D6-CFB2-4027-8FB5-402C4AE3C8B6}">
    <text>Expected decrease due to disturbances by wind, bark beetles and forest fires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A3" dT="2023-11-21T13:47:08.88" personId="{D5BE7DD9-7AEC-47DE-830E-A05A4FC6DEA5}" id="{5E7E60CB-ED09-44AD-A029-05D9FCFB7AA0}">
    <text>reference depth for the SOC sequestration rate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7E49-4EBF-D24A-89BD-E532352DEE0E}">
  <dimension ref="A2:AM183"/>
  <sheetViews>
    <sheetView topLeftCell="S1" workbookViewId="0">
      <selection activeCell="Z18" sqref="Z18:Z25"/>
    </sheetView>
  </sheetViews>
  <sheetFormatPr defaultColWidth="11" defaultRowHeight="15.75" customHeight="1"/>
  <cols>
    <col min="1" max="1" width="47.125" customWidth="1"/>
    <col min="2" max="2" width="82.125" customWidth="1"/>
    <col min="3" max="3" width="11" style="7"/>
    <col min="4" max="4" width="16.875" style="7" customWidth="1"/>
    <col min="5" max="5" width="22.375" style="7" customWidth="1"/>
    <col min="6" max="6" width="19.625" style="7" customWidth="1"/>
    <col min="7" max="7" width="30.125" style="7" customWidth="1"/>
    <col min="8" max="10" width="11" style="7"/>
    <col min="11" max="11" width="19.375" style="7" customWidth="1"/>
    <col min="12" max="13" width="11" style="7"/>
    <col min="14" max="14" width="17.375" style="7" customWidth="1"/>
    <col min="15" max="15" width="16.625" style="7" bestFit="1" customWidth="1"/>
    <col min="16" max="17" width="11" style="7"/>
    <col min="18" max="18" width="12.5" style="7" customWidth="1"/>
    <col min="19" max="19" width="17.125" style="7" customWidth="1"/>
    <col min="20" max="20" width="21.125" customWidth="1"/>
    <col min="23" max="23" width="15" customWidth="1"/>
    <col min="24" max="24" width="15.625" customWidth="1"/>
    <col min="25" max="25" width="14.875" customWidth="1"/>
    <col min="26" max="26" width="16.375" customWidth="1"/>
    <col min="27" max="27" width="16.375" style="7" customWidth="1"/>
    <col min="34" max="34" width="15.875" style="7" customWidth="1"/>
    <col min="35" max="35" width="18.375" style="7" customWidth="1"/>
    <col min="36" max="36" width="15.875" style="7" customWidth="1"/>
    <col min="37" max="37" width="23.125" style="7" customWidth="1"/>
    <col min="38" max="38" width="18.375" style="7" customWidth="1"/>
    <col min="39" max="39" width="53.125" customWidth="1"/>
  </cols>
  <sheetData>
    <row r="2" spans="1:39">
      <c r="U2" s="7" t="s">
        <v>0</v>
      </c>
      <c r="V2" s="7" t="s">
        <v>0</v>
      </c>
      <c r="W2" s="13" t="s">
        <v>1</v>
      </c>
      <c r="X2" s="13" t="s">
        <v>1</v>
      </c>
      <c r="Y2" s="7" t="s">
        <v>2</v>
      </c>
      <c r="Z2" s="7" t="s">
        <v>2</v>
      </c>
      <c r="AA2" s="7" t="s">
        <v>3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5</v>
      </c>
    </row>
    <row r="3" spans="1:39">
      <c r="A3" s="9" t="s">
        <v>6</v>
      </c>
      <c r="B3" s="9" t="s">
        <v>7</v>
      </c>
      <c r="C3" s="10" t="s">
        <v>8</v>
      </c>
      <c r="D3" s="18" t="s">
        <v>9</v>
      </c>
      <c r="E3" s="19" t="s">
        <v>10</v>
      </c>
      <c r="F3" s="18" t="s">
        <v>11</v>
      </c>
      <c r="G3" s="18" t="s">
        <v>12</v>
      </c>
      <c r="H3" s="10" t="s">
        <v>13</v>
      </c>
      <c r="I3" s="10" t="s">
        <v>14</v>
      </c>
      <c r="J3" s="11" t="s">
        <v>15</v>
      </c>
      <c r="K3" s="11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23</v>
      </c>
      <c r="S3" s="11" t="s">
        <v>24</v>
      </c>
      <c r="T3" s="4" t="s">
        <v>25</v>
      </c>
      <c r="U3" s="11" t="s">
        <v>26</v>
      </c>
      <c r="V3" s="11" t="s">
        <v>27</v>
      </c>
      <c r="W3" s="10" t="s">
        <v>28</v>
      </c>
      <c r="X3" s="10" t="s">
        <v>29</v>
      </c>
      <c r="Y3" s="4" t="s">
        <v>30</v>
      </c>
      <c r="Z3" s="5" t="s">
        <v>31</v>
      </c>
      <c r="AA3" s="6" t="s">
        <v>32</v>
      </c>
      <c r="AB3" s="6" t="s">
        <v>33</v>
      </c>
      <c r="AC3" s="6" t="s">
        <v>34</v>
      </c>
      <c r="AD3" s="6" t="s">
        <v>35</v>
      </c>
      <c r="AE3" s="6" t="s">
        <v>36</v>
      </c>
      <c r="AF3" s="6" t="s">
        <v>37</v>
      </c>
      <c r="AG3" s="5" t="s">
        <v>38</v>
      </c>
      <c r="AH3" s="6" t="s">
        <v>39</v>
      </c>
      <c r="AI3" s="6" t="s">
        <v>40</v>
      </c>
      <c r="AJ3" s="6" t="s">
        <v>41</v>
      </c>
      <c r="AK3" s="6" t="s">
        <v>42</v>
      </c>
      <c r="AL3" s="6" t="s">
        <v>43</v>
      </c>
      <c r="AM3" t="s">
        <v>44</v>
      </c>
    </row>
    <row r="4" spans="1:39">
      <c r="A4" s="34" t="s">
        <v>45</v>
      </c>
      <c r="B4" s="8" t="s">
        <v>46</v>
      </c>
      <c r="C4" s="7">
        <v>1</v>
      </c>
      <c r="D4" s="7">
        <v>1</v>
      </c>
      <c r="E4" s="7" t="s">
        <v>47</v>
      </c>
      <c r="F4" s="7" t="s">
        <v>48</v>
      </c>
      <c r="H4" s="7">
        <v>2021</v>
      </c>
      <c r="I4" s="13" t="s">
        <v>49</v>
      </c>
      <c r="J4" s="7" t="s">
        <v>50</v>
      </c>
      <c r="K4" s="7" t="s">
        <v>51</v>
      </c>
      <c r="N4" s="7" t="s">
        <v>52</v>
      </c>
    </row>
    <row r="5" spans="1:39">
      <c r="B5" s="8" t="s">
        <v>53</v>
      </c>
      <c r="C5" s="7">
        <v>1</v>
      </c>
      <c r="D5" s="7">
        <v>2</v>
      </c>
      <c r="E5" s="7" t="s">
        <v>47</v>
      </c>
      <c r="F5" s="7" t="s">
        <v>48</v>
      </c>
      <c r="H5" s="7">
        <v>2021</v>
      </c>
      <c r="I5" s="13" t="s">
        <v>49</v>
      </c>
      <c r="J5" s="7" t="s">
        <v>50</v>
      </c>
      <c r="K5" s="7" t="s">
        <v>54</v>
      </c>
      <c r="N5" s="7" t="s">
        <v>52</v>
      </c>
    </row>
    <row r="6" spans="1:39">
      <c r="B6" s="8" t="s">
        <v>53</v>
      </c>
      <c r="C6" s="7">
        <v>1</v>
      </c>
      <c r="D6" s="7">
        <v>3</v>
      </c>
      <c r="E6" s="7" t="s">
        <v>47</v>
      </c>
      <c r="F6" s="7" t="s">
        <v>48</v>
      </c>
      <c r="H6" s="7">
        <v>2021</v>
      </c>
      <c r="I6" s="13" t="s">
        <v>49</v>
      </c>
      <c r="J6" s="7" t="s">
        <v>50</v>
      </c>
      <c r="K6" s="7" t="s">
        <v>54</v>
      </c>
      <c r="N6" s="7" t="s">
        <v>52</v>
      </c>
    </row>
    <row r="7" spans="1:39">
      <c r="B7" s="8" t="s">
        <v>55</v>
      </c>
      <c r="C7" s="7">
        <v>2</v>
      </c>
      <c r="D7" s="14">
        <v>1</v>
      </c>
      <c r="E7" s="7" t="s">
        <v>56</v>
      </c>
      <c r="F7" s="7">
        <v>2015</v>
      </c>
      <c r="G7" s="7" t="s">
        <v>57</v>
      </c>
      <c r="H7" s="7">
        <v>2009</v>
      </c>
      <c r="I7" s="13" t="s">
        <v>49</v>
      </c>
      <c r="J7" s="7" t="s">
        <v>58</v>
      </c>
      <c r="K7" s="7" t="s">
        <v>59</v>
      </c>
      <c r="L7" s="7" t="s">
        <v>60</v>
      </c>
      <c r="M7" s="20" t="s">
        <v>61</v>
      </c>
      <c r="N7" s="7" t="s">
        <v>52</v>
      </c>
      <c r="O7" s="7" t="s">
        <v>62</v>
      </c>
      <c r="P7" s="7" t="s">
        <v>63</v>
      </c>
      <c r="Q7" s="7">
        <v>728</v>
      </c>
      <c r="S7" s="7" t="s">
        <v>64</v>
      </c>
      <c r="T7" t="s">
        <v>65</v>
      </c>
      <c r="U7" s="7">
        <v>18</v>
      </c>
      <c r="V7" s="7">
        <v>10</v>
      </c>
      <c r="W7" s="7"/>
      <c r="X7" s="7" t="s">
        <v>66</v>
      </c>
      <c r="Y7" s="7" t="s">
        <v>67</v>
      </c>
      <c r="AA7" s="7" t="s">
        <v>68</v>
      </c>
      <c r="AH7" s="7" t="s">
        <v>69</v>
      </c>
      <c r="AI7" s="7" t="s">
        <v>69</v>
      </c>
      <c r="AJ7" s="7" t="s">
        <v>69</v>
      </c>
      <c r="AK7" s="7" t="s">
        <v>69</v>
      </c>
      <c r="AL7" s="7" t="s">
        <v>69</v>
      </c>
      <c r="AM7" t="s">
        <v>70</v>
      </c>
    </row>
    <row r="8" spans="1:39">
      <c r="B8" s="8" t="s">
        <v>55</v>
      </c>
      <c r="C8" s="7">
        <v>2</v>
      </c>
      <c r="D8" s="14">
        <v>2</v>
      </c>
      <c r="E8" s="7" t="s">
        <v>56</v>
      </c>
      <c r="F8" s="7">
        <v>2015</v>
      </c>
      <c r="G8" s="7" t="s">
        <v>57</v>
      </c>
      <c r="H8" s="7">
        <v>2009</v>
      </c>
      <c r="I8" s="13" t="s">
        <v>49</v>
      </c>
      <c r="J8" s="7" t="s">
        <v>58</v>
      </c>
      <c r="K8" s="7" t="s">
        <v>59</v>
      </c>
      <c r="L8" s="7" t="s">
        <v>60</v>
      </c>
      <c r="M8" s="20" t="s">
        <v>61</v>
      </c>
      <c r="N8" s="7" t="s">
        <v>52</v>
      </c>
      <c r="O8" s="7" t="s">
        <v>62</v>
      </c>
      <c r="P8" s="7" t="s">
        <v>63</v>
      </c>
      <c r="Q8" s="7">
        <v>728</v>
      </c>
      <c r="S8" s="7" t="s">
        <v>64</v>
      </c>
      <c r="T8" t="s">
        <v>65</v>
      </c>
      <c r="U8" s="7">
        <v>36</v>
      </c>
      <c r="V8" s="7">
        <v>10</v>
      </c>
      <c r="W8" s="7"/>
      <c r="X8" s="7" t="s">
        <v>71</v>
      </c>
      <c r="Y8" s="7" t="s">
        <v>72</v>
      </c>
      <c r="AA8" s="7" t="s">
        <v>68</v>
      </c>
      <c r="AH8" s="7" t="s">
        <v>69</v>
      </c>
      <c r="AI8" s="7" t="s">
        <v>69</v>
      </c>
      <c r="AJ8" s="7" t="s">
        <v>69</v>
      </c>
      <c r="AK8" s="7" t="s">
        <v>69</v>
      </c>
      <c r="AL8" s="7" t="s">
        <v>69</v>
      </c>
      <c r="AM8" t="s">
        <v>70</v>
      </c>
    </row>
    <row r="9" spans="1:39">
      <c r="B9" s="8" t="s">
        <v>55</v>
      </c>
      <c r="C9" s="7">
        <v>2</v>
      </c>
      <c r="D9" s="14">
        <v>3</v>
      </c>
      <c r="E9" s="7" t="s">
        <v>56</v>
      </c>
      <c r="F9" s="7">
        <v>2015</v>
      </c>
      <c r="G9" s="7" t="s">
        <v>57</v>
      </c>
      <c r="H9" s="7">
        <v>2009</v>
      </c>
      <c r="I9" s="13" t="s">
        <v>49</v>
      </c>
      <c r="J9" s="7" t="s">
        <v>58</v>
      </c>
      <c r="K9" s="7" t="s">
        <v>59</v>
      </c>
      <c r="L9" s="7" t="s">
        <v>60</v>
      </c>
      <c r="M9" s="20" t="s">
        <v>61</v>
      </c>
      <c r="N9" s="7" t="s">
        <v>52</v>
      </c>
      <c r="O9" s="7" t="s">
        <v>62</v>
      </c>
      <c r="P9" s="7" t="s">
        <v>63</v>
      </c>
      <c r="Q9" s="7">
        <v>728</v>
      </c>
      <c r="S9" s="7" t="s">
        <v>64</v>
      </c>
      <c r="T9" t="s">
        <v>65</v>
      </c>
      <c r="U9" s="7">
        <v>73</v>
      </c>
      <c r="V9" s="7">
        <v>10</v>
      </c>
      <c r="W9" s="7"/>
      <c r="X9" s="7" t="s">
        <v>73</v>
      </c>
      <c r="Y9" s="7" t="s">
        <v>74</v>
      </c>
      <c r="AA9" s="7" t="s">
        <v>68</v>
      </c>
      <c r="AH9" s="7" t="s">
        <v>69</v>
      </c>
      <c r="AI9" s="7" t="s">
        <v>69</v>
      </c>
      <c r="AJ9" s="7" t="s">
        <v>69</v>
      </c>
      <c r="AK9" s="7" t="s">
        <v>69</v>
      </c>
      <c r="AL9" s="7" t="s">
        <v>69</v>
      </c>
      <c r="AM9" t="s">
        <v>70</v>
      </c>
    </row>
    <row r="10" spans="1:39">
      <c r="B10" s="8" t="s">
        <v>55</v>
      </c>
      <c r="C10" s="7">
        <v>2</v>
      </c>
      <c r="D10" s="14">
        <v>4</v>
      </c>
      <c r="E10" s="7" t="s">
        <v>56</v>
      </c>
      <c r="F10" s="7">
        <v>2015</v>
      </c>
      <c r="G10" s="7" t="s">
        <v>57</v>
      </c>
      <c r="H10" s="7">
        <v>2009</v>
      </c>
      <c r="I10" s="13" t="s">
        <v>49</v>
      </c>
      <c r="J10" s="7" t="s">
        <v>58</v>
      </c>
      <c r="K10" s="7" t="s">
        <v>59</v>
      </c>
      <c r="L10" s="7" t="s">
        <v>60</v>
      </c>
      <c r="M10" s="20" t="s">
        <v>61</v>
      </c>
      <c r="N10" s="7" t="s">
        <v>52</v>
      </c>
      <c r="O10" s="7" t="s">
        <v>62</v>
      </c>
      <c r="P10" s="7" t="s">
        <v>63</v>
      </c>
      <c r="Q10" s="7">
        <v>728</v>
      </c>
      <c r="S10" s="7" t="s">
        <v>64</v>
      </c>
      <c r="T10" t="s">
        <v>65</v>
      </c>
      <c r="U10" s="7">
        <v>102</v>
      </c>
      <c r="V10" s="7">
        <v>10</v>
      </c>
      <c r="W10" s="7"/>
      <c r="X10" s="7" t="s">
        <v>75</v>
      </c>
      <c r="Y10" s="7" t="s">
        <v>76</v>
      </c>
      <c r="AA10" s="7" t="s">
        <v>68</v>
      </c>
      <c r="AH10" s="7" t="s">
        <v>69</v>
      </c>
      <c r="AI10" s="7" t="s">
        <v>69</v>
      </c>
      <c r="AJ10" s="7" t="s">
        <v>69</v>
      </c>
      <c r="AK10" s="7" t="s">
        <v>69</v>
      </c>
      <c r="AL10" s="7" t="s">
        <v>69</v>
      </c>
      <c r="AM10" t="s">
        <v>70</v>
      </c>
    </row>
    <row r="11" spans="1:39">
      <c r="B11" s="8" t="s">
        <v>55</v>
      </c>
      <c r="C11" s="7">
        <v>2</v>
      </c>
      <c r="D11" s="14">
        <v>5</v>
      </c>
      <c r="E11" s="7" t="s">
        <v>56</v>
      </c>
      <c r="F11" s="7">
        <v>2015</v>
      </c>
      <c r="G11" s="7" t="s">
        <v>57</v>
      </c>
      <c r="H11" s="7">
        <v>2009</v>
      </c>
      <c r="I11" s="13" t="s">
        <v>49</v>
      </c>
      <c r="J11" s="7" t="s">
        <v>58</v>
      </c>
      <c r="K11" s="7" t="s">
        <v>59</v>
      </c>
      <c r="L11" s="7" t="s">
        <v>60</v>
      </c>
      <c r="M11" s="20" t="s">
        <v>61</v>
      </c>
      <c r="N11" s="7" t="s">
        <v>52</v>
      </c>
      <c r="O11" s="7" t="s">
        <v>62</v>
      </c>
      <c r="P11" s="7" t="s">
        <v>63</v>
      </c>
      <c r="Q11" s="7">
        <v>728</v>
      </c>
      <c r="S11" s="7" t="s">
        <v>64</v>
      </c>
      <c r="T11" t="s">
        <v>65</v>
      </c>
      <c r="U11" s="7">
        <v>110</v>
      </c>
      <c r="V11" s="7">
        <v>10</v>
      </c>
      <c r="W11" s="7"/>
      <c r="X11" s="7" t="s">
        <v>77</v>
      </c>
      <c r="Y11" s="7" t="s">
        <v>78</v>
      </c>
      <c r="AA11" s="7" t="s">
        <v>68</v>
      </c>
      <c r="AH11" s="7" t="s">
        <v>69</v>
      </c>
      <c r="AI11" s="7" t="s">
        <v>69</v>
      </c>
      <c r="AJ11" s="7" t="s">
        <v>69</v>
      </c>
      <c r="AK11" s="7" t="s">
        <v>69</v>
      </c>
      <c r="AL11" s="7" t="s">
        <v>69</v>
      </c>
      <c r="AM11" t="s">
        <v>70</v>
      </c>
    </row>
    <row r="12" spans="1:39">
      <c r="B12" s="8" t="s">
        <v>55</v>
      </c>
      <c r="C12" s="7">
        <v>2</v>
      </c>
      <c r="D12" s="14">
        <v>6</v>
      </c>
      <c r="E12" s="7" t="s">
        <v>56</v>
      </c>
      <c r="F12" s="7">
        <v>2015</v>
      </c>
      <c r="G12" s="7" t="s">
        <v>57</v>
      </c>
      <c r="H12" s="7">
        <v>2009</v>
      </c>
      <c r="I12" s="13" t="s">
        <v>49</v>
      </c>
      <c r="J12" s="7" t="s">
        <v>58</v>
      </c>
      <c r="K12" s="7" t="s">
        <v>79</v>
      </c>
      <c r="L12" s="7" t="s">
        <v>80</v>
      </c>
      <c r="M12" s="20" t="s">
        <v>81</v>
      </c>
      <c r="N12" s="7" t="s">
        <v>52</v>
      </c>
      <c r="O12" s="7" t="s">
        <v>62</v>
      </c>
      <c r="P12" s="7" t="s">
        <v>82</v>
      </c>
      <c r="Q12" s="7">
        <v>873</v>
      </c>
      <c r="S12" s="7" t="s">
        <v>64</v>
      </c>
      <c r="T12" t="s">
        <v>83</v>
      </c>
      <c r="U12" s="7">
        <v>27</v>
      </c>
      <c r="V12" s="7">
        <v>10</v>
      </c>
      <c r="W12" s="7"/>
      <c r="X12" s="7" t="s">
        <v>84</v>
      </c>
      <c r="Y12" s="7" t="s">
        <v>85</v>
      </c>
      <c r="AA12" s="7" t="s">
        <v>68</v>
      </c>
      <c r="AH12" s="7" t="s">
        <v>69</v>
      </c>
      <c r="AI12" s="7" t="s">
        <v>69</v>
      </c>
      <c r="AJ12" s="7" t="s">
        <v>69</v>
      </c>
      <c r="AK12" s="7" t="s">
        <v>69</v>
      </c>
      <c r="AL12" s="7" t="s">
        <v>69</v>
      </c>
      <c r="AM12" t="s">
        <v>86</v>
      </c>
    </row>
    <row r="13" spans="1:39">
      <c r="B13" s="8" t="s">
        <v>55</v>
      </c>
      <c r="C13" s="7">
        <v>2</v>
      </c>
      <c r="D13" s="14">
        <v>7</v>
      </c>
      <c r="E13" s="7" t="s">
        <v>56</v>
      </c>
      <c r="F13" s="7">
        <v>2015</v>
      </c>
      <c r="G13" s="7" t="s">
        <v>57</v>
      </c>
      <c r="H13" s="7">
        <v>2009</v>
      </c>
      <c r="I13" s="13" t="s">
        <v>49</v>
      </c>
      <c r="J13" s="7" t="s">
        <v>58</v>
      </c>
      <c r="K13" s="7" t="s">
        <v>79</v>
      </c>
      <c r="L13" s="7" t="s">
        <v>80</v>
      </c>
      <c r="M13" s="20" t="s">
        <v>81</v>
      </c>
      <c r="N13" s="7" t="s">
        <v>52</v>
      </c>
      <c r="O13" s="7" t="s">
        <v>62</v>
      </c>
      <c r="P13" s="7" t="s">
        <v>82</v>
      </c>
      <c r="Q13" s="7">
        <v>873</v>
      </c>
      <c r="S13" s="7" t="s">
        <v>64</v>
      </c>
      <c r="T13" t="s">
        <v>83</v>
      </c>
      <c r="U13" s="7">
        <v>40</v>
      </c>
      <c r="V13" s="7">
        <v>10</v>
      </c>
      <c r="W13" s="7"/>
      <c r="X13" s="7" t="s">
        <v>87</v>
      </c>
      <c r="Y13" s="7" t="s">
        <v>88</v>
      </c>
      <c r="AA13" s="7" t="s">
        <v>68</v>
      </c>
      <c r="AH13" s="7" t="s">
        <v>69</v>
      </c>
      <c r="AI13" s="7" t="s">
        <v>69</v>
      </c>
      <c r="AJ13" s="7" t="s">
        <v>69</v>
      </c>
      <c r="AK13" s="7" t="s">
        <v>69</v>
      </c>
      <c r="AL13" s="7" t="s">
        <v>69</v>
      </c>
      <c r="AM13" t="s">
        <v>86</v>
      </c>
    </row>
    <row r="14" spans="1:39">
      <c r="B14" s="8" t="s">
        <v>55</v>
      </c>
      <c r="C14" s="7">
        <v>2</v>
      </c>
      <c r="D14" s="14">
        <v>8</v>
      </c>
      <c r="E14" s="7" t="s">
        <v>56</v>
      </c>
      <c r="F14" s="7">
        <v>2015</v>
      </c>
      <c r="G14" s="7" t="s">
        <v>57</v>
      </c>
      <c r="H14" s="7">
        <v>2009</v>
      </c>
      <c r="I14" s="13" t="s">
        <v>49</v>
      </c>
      <c r="J14" s="7" t="s">
        <v>58</v>
      </c>
      <c r="K14" s="7" t="s">
        <v>79</v>
      </c>
      <c r="L14" s="7" t="s">
        <v>80</v>
      </c>
      <c r="M14" s="20" t="s">
        <v>81</v>
      </c>
      <c r="N14" s="7" t="s">
        <v>52</v>
      </c>
      <c r="O14" s="7" t="s">
        <v>62</v>
      </c>
      <c r="P14" s="7" t="s">
        <v>82</v>
      </c>
      <c r="Q14" s="7">
        <v>873</v>
      </c>
      <c r="S14" s="7" t="s">
        <v>64</v>
      </c>
      <c r="T14" t="s">
        <v>83</v>
      </c>
      <c r="U14" s="7">
        <v>57</v>
      </c>
      <c r="V14" s="7">
        <v>10</v>
      </c>
      <c r="W14" s="7"/>
      <c r="X14" s="7" t="s">
        <v>89</v>
      </c>
      <c r="Y14" s="7" t="s">
        <v>90</v>
      </c>
      <c r="AA14" s="7" t="s">
        <v>68</v>
      </c>
      <c r="AH14" s="7" t="s">
        <v>69</v>
      </c>
      <c r="AI14" s="7" t="s">
        <v>69</v>
      </c>
      <c r="AJ14" s="7" t="s">
        <v>69</v>
      </c>
      <c r="AK14" s="7" t="s">
        <v>69</v>
      </c>
      <c r="AL14" s="7" t="s">
        <v>69</v>
      </c>
      <c r="AM14" t="s">
        <v>86</v>
      </c>
    </row>
    <row r="15" spans="1:39">
      <c r="B15" s="8" t="s">
        <v>55</v>
      </c>
      <c r="C15" s="7">
        <v>2</v>
      </c>
      <c r="D15" s="14">
        <v>9</v>
      </c>
      <c r="E15" s="7" t="s">
        <v>56</v>
      </c>
      <c r="F15" s="7">
        <v>2015</v>
      </c>
      <c r="G15" s="7" t="s">
        <v>57</v>
      </c>
      <c r="H15" s="7">
        <v>2009</v>
      </c>
      <c r="I15" s="13" t="s">
        <v>49</v>
      </c>
      <c r="J15" s="7" t="s">
        <v>58</v>
      </c>
      <c r="K15" s="7" t="s">
        <v>79</v>
      </c>
      <c r="L15" s="7" t="s">
        <v>80</v>
      </c>
      <c r="M15" s="20" t="s">
        <v>81</v>
      </c>
      <c r="N15" s="7" t="s">
        <v>52</v>
      </c>
      <c r="O15" s="7" t="s">
        <v>62</v>
      </c>
      <c r="P15" s="7" t="s">
        <v>82</v>
      </c>
      <c r="Q15" s="7">
        <v>873</v>
      </c>
      <c r="S15" s="7" t="s">
        <v>64</v>
      </c>
      <c r="T15" t="s">
        <v>83</v>
      </c>
      <c r="U15" s="7">
        <v>83</v>
      </c>
      <c r="V15" s="7">
        <v>10</v>
      </c>
      <c r="W15" s="7"/>
      <c r="X15" s="7" t="s">
        <v>91</v>
      </c>
      <c r="Y15" s="7" t="s">
        <v>92</v>
      </c>
      <c r="AA15" s="7" t="s">
        <v>68</v>
      </c>
      <c r="AH15" s="7" t="s">
        <v>69</v>
      </c>
      <c r="AI15" s="7" t="s">
        <v>69</v>
      </c>
      <c r="AJ15" s="7" t="s">
        <v>69</v>
      </c>
      <c r="AK15" s="7" t="s">
        <v>69</v>
      </c>
      <c r="AL15" s="7" t="s">
        <v>69</v>
      </c>
      <c r="AM15" t="s">
        <v>86</v>
      </c>
    </row>
    <row r="16" spans="1:39">
      <c r="B16" s="8" t="s">
        <v>55</v>
      </c>
      <c r="C16" s="7">
        <v>2</v>
      </c>
      <c r="D16" s="14">
        <v>10</v>
      </c>
      <c r="E16" s="7" t="s">
        <v>56</v>
      </c>
      <c r="F16" s="7">
        <v>2015</v>
      </c>
      <c r="G16" s="7" t="s">
        <v>57</v>
      </c>
      <c r="H16" s="7">
        <v>2009</v>
      </c>
      <c r="I16" s="13" t="s">
        <v>49</v>
      </c>
      <c r="J16" s="7" t="s">
        <v>58</v>
      </c>
      <c r="K16" s="7" t="s">
        <v>79</v>
      </c>
      <c r="L16" s="7" t="s">
        <v>80</v>
      </c>
      <c r="M16" s="20" t="s">
        <v>81</v>
      </c>
      <c r="N16" s="7" t="s">
        <v>52</v>
      </c>
      <c r="O16" s="7" t="s">
        <v>62</v>
      </c>
      <c r="P16" s="7" t="s">
        <v>82</v>
      </c>
      <c r="Q16" s="7">
        <v>873</v>
      </c>
      <c r="S16" s="7" t="s">
        <v>64</v>
      </c>
      <c r="T16" t="s">
        <v>83</v>
      </c>
      <c r="U16" s="7">
        <v>104</v>
      </c>
      <c r="V16" s="7">
        <v>10</v>
      </c>
      <c r="W16" s="7"/>
      <c r="X16" s="7" t="s">
        <v>93</v>
      </c>
      <c r="Y16" s="7" t="s">
        <v>94</v>
      </c>
      <c r="AA16" s="7" t="s">
        <v>68</v>
      </c>
      <c r="AH16" s="7" t="s">
        <v>69</v>
      </c>
      <c r="AI16" s="7" t="s">
        <v>69</v>
      </c>
      <c r="AJ16" s="7" t="s">
        <v>69</v>
      </c>
      <c r="AK16" s="7" t="s">
        <v>69</v>
      </c>
      <c r="AL16" s="7" t="s">
        <v>69</v>
      </c>
      <c r="AM16" t="s">
        <v>86</v>
      </c>
    </row>
    <row r="17" spans="1:39">
      <c r="B17" s="8" t="s">
        <v>55</v>
      </c>
      <c r="C17" s="7">
        <v>2</v>
      </c>
      <c r="D17" s="14">
        <v>11</v>
      </c>
      <c r="E17" s="7" t="s">
        <v>56</v>
      </c>
      <c r="F17" s="7">
        <v>2015</v>
      </c>
      <c r="G17" s="7" t="s">
        <v>57</v>
      </c>
      <c r="H17" s="7">
        <v>2009</v>
      </c>
      <c r="I17" s="13" t="s">
        <v>49</v>
      </c>
      <c r="J17" s="7" t="s">
        <v>58</v>
      </c>
      <c r="K17" s="7" t="s">
        <v>79</v>
      </c>
      <c r="L17" s="7" t="s">
        <v>80</v>
      </c>
      <c r="M17" s="20" t="s">
        <v>81</v>
      </c>
      <c r="N17" s="7" t="s">
        <v>52</v>
      </c>
      <c r="O17" s="7" t="s">
        <v>62</v>
      </c>
      <c r="P17" s="7" t="s">
        <v>82</v>
      </c>
      <c r="Q17" s="7">
        <v>873</v>
      </c>
      <c r="S17" s="7" t="s">
        <v>64</v>
      </c>
      <c r="T17" t="s">
        <v>83</v>
      </c>
      <c r="U17" s="7">
        <v>123</v>
      </c>
      <c r="V17" s="7">
        <v>10</v>
      </c>
      <c r="W17" s="7"/>
      <c r="X17" s="7" t="s">
        <v>95</v>
      </c>
      <c r="Y17" s="7" t="s">
        <v>96</v>
      </c>
      <c r="AA17" s="7" t="s">
        <v>68</v>
      </c>
      <c r="AH17" s="7" t="s">
        <v>69</v>
      </c>
      <c r="AI17" s="7" t="s">
        <v>69</v>
      </c>
      <c r="AJ17" s="7" t="s">
        <v>69</v>
      </c>
      <c r="AK17" s="7" t="s">
        <v>69</v>
      </c>
      <c r="AL17" s="7" t="s">
        <v>69</v>
      </c>
      <c r="AM17" t="s">
        <v>86</v>
      </c>
    </row>
    <row r="18" spans="1:39">
      <c r="B18" s="8" t="s">
        <v>97</v>
      </c>
      <c r="C18" s="7">
        <v>3</v>
      </c>
      <c r="D18" s="14">
        <v>1</v>
      </c>
      <c r="E18" s="7" t="s">
        <v>98</v>
      </c>
      <c r="F18" s="7">
        <v>2011</v>
      </c>
      <c r="G18" s="7" t="s">
        <v>99</v>
      </c>
      <c r="I18" s="13" t="s">
        <v>49</v>
      </c>
      <c r="J18" s="7" t="s">
        <v>58</v>
      </c>
      <c r="K18" s="7" t="s">
        <v>100</v>
      </c>
      <c r="M18" s="20"/>
      <c r="N18" s="7" t="s">
        <v>101</v>
      </c>
      <c r="O18" s="7" t="s">
        <v>102</v>
      </c>
      <c r="P18" s="7" t="s">
        <v>103</v>
      </c>
      <c r="Q18" s="7">
        <v>1378</v>
      </c>
      <c r="R18" s="7" t="s">
        <v>104</v>
      </c>
      <c r="U18" s="7">
        <v>10</v>
      </c>
      <c r="V18" s="7"/>
      <c r="W18" s="7" t="s">
        <v>105</v>
      </c>
      <c r="X18" s="7"/>
      <c r="Y18" s="7" t="s">
        <v>106</v>
      </c>
      <c r="Z18" s="7" t="s">
        <v>107</v>
      </c>
      <c r="AA18" s="7" t="s">
        <v>108</v>
      </c>
    </row>
    <row r="19" spans="1:39">
      <c r="B19" s="8" t="s">
        <v>97</v>
      </c>
      <c r="C19" s="7">
        <v>3</v>
      </c>
      <c r="D19" s="14">
        <v>2</v>
      </c>
      <c r="E19" s="7" t="s">
        <v>98</v>
      </c>
      <c r="F19" s="7">
        <v>2011</v>
      </c>
      <c r="G19" s="7" t="s">
        <v>99</v>
      </c>
      <c r="I19" s="13" t="s">
        <v>49</v>
      </c>
      <c r="J19" s="7" t="s">
        <v>58</v>
      </c>
      <c r="K19" s="7" t="s">
        <v>100</v>
      </c>
      <c r="M19" s="20"/>
      <c r="N19" s="7" t="s">
        <v>101</v>
      </c>
      <c r="O19" s="7" t="s">
        <v>102</v>
      </c>
      <c r="P19" s="7" t="s">
        <v>103</v>
      </c>
      <c r="Q19" s="7">
        <v>1378</v>
      </c>
      <c r="R19" s="7" t="s">
        <v>104</v>
      </c>
      <c r="U19" s="7">
        <v>15</v>
      </c>
      <c r="V19" s="7"/>
      <c r="W19" s="7">
        <v>148</v>
      </c>
      <c r="X19" s="7"/>
      <c r="Y19" s="7" t="s">
        <v>109</v>
      </c>
      <c r="Z19" s="7" t="s">
        <v>110</v>
      </c>
      <c r="AA19" s="7" t="s">
        <v>108</v>
      </c>
    </row>
    <row r="20" spans="1:39">
      <c r="B20" s="76" t="s">
        <v>111</v>
      </c>
      <c r="C20" s="7">
        <v>3</v>
      </c>
      <c r="D20" s="14">
        <v>3</v>
      </c>
      <c r="E20" s="7" t="s">
        <v>98</v>
      </c>
      <c r="F20" s="7">
        <v>2011</v>
      </c>
      <c r="G20" s="7" t="s">
        <v>99</v>
      </c>
      <c r="I20" s="13" t="s">
        <v>49</v>
      </c>
      <c r="J20" s="7" t="s">
        <v>58</v>
      </c>
      <c r="K20" s="7" t="s">
        <v>100</v>
      </c>
      <c r="M20" s="20"/>
      <c r="N20" s="7" t="s">
        <v>101</v>
      </c>
      <c r="O20" s="7" t="s">
        <v>102</v>
      </c>
      <c r="P20" s="7" t="s">
        <v>103</v>
      </c>
      <c r="Q20" s="7">
        <v>1378</v>
      </c>
      <c r="R20" s="7" t="s">
        <v>104</v>
      </c>
      <c r="U20" s="7">
        <v>20</v>
      </c>
      <c r="V20" s="7"/>
      <c r="W20" s="7" t="s">
        <v>112</v>
      </c>
      <c r="X20" s="7"/>
      <c r="Y20" s="7" t="s">
        <v>113</v>
      </c>
      <c r="Z20" s="7" t="s">
        <v>114</v>
      </c>
      <c r="AA20" s="7" t="s">
        <v>108</v>
      </c>
    </row>
    <row r="21" spans="1:39">
      <c r="B21" s="8" t="s">
        <v>97</v>
      </c>
      <c r="C21" s="7">
        <v>3</v>
      </c>
      <c r="D21" s="14">
        <v>4</v>
      </c>
      <c r="E21" s="7" t="s">
        <v>98</v>
      </c>
      <c r="F21" s="7">
        <v>2011</v>
      </c>
      <c r="G21" s="7" t="s">
        <v>99</v>
      </c>
      <c r="I21" s="13" t="s">
        <v>49</v>
      </c>
      <c r="J21" s="7" t="s">
        <v>58</v>
      </c>
      <c r="K21" s="7" t="s">
        <v>100</v>
      </c>
      <c r="M21" s="20"/>
      <c r="N21" s="7" t="s">
        <v>101</v>
      </c>
      <c r="O21" s="7" t="s">
        <v>115</v>
      </c>
      <c r="P21" s="7" t="s">
        <v>103</v>
      </c>
      <c r="Q21" s="7">
        <v>1378</v>
      </c>
      <c r="R21" s="7" t="s">
        <v>104</v>
      </c>
      <c r="U21" s="7">
        <v>10</v>
      </c>
      <c r="V21" s="7"/>
      <c r="W21" s="7" t="s">
        <v>116</v>
      </c>
      <c r="X21" s="7"/>
      <c r="Y21" s="7" t="s">
        <v>117</v>
      </c>
      <c r="Z21" s="7" t="s">
        <v>118</v>
      </c>
      <c r="AA21" s="7" t="s">
        <v>108</v>
      </c>
    </row>
    <row r="22" spans="1:39">
      <c r="B22" s="8" t="s">
        <v>97</v>
      </c>
      <c r="C22" s="7">
        <v>3</v>
      </c>
      <c r="D22" s="14">
        <v>5</v>
      </c>
      <c r="E22" s="7" t="s">
        <v>98</v>
      </c>
      <c r="F22" s="7">
        <v>2011</v>
      </c>
      <c r="G22" s="7" t="s">
        <v>99</v>
      </c>
      <c r="I22" s="13" t="s">
        <v>49</v>
      </c>
      <c r="J22" s="7" t="s">
        <v>58</v>
      </c>
      <c r="K22" s="7" t="s">
        <v>100</v>
      </c>
      <c r="M22" s="20"/>
      <c r="N22" s="7" t="s">
        <v>101</v>
      </c>
      <c r="O22" s="7" t="s">
        <v>115</v>
      </c>
      <c r="P22" s="7" t="s">
        <v>103</v>
      </c>
      <c r="Q22" s="7">
        <v>1378</v>
      </c>
      <c r="R22" s="7" t="s">
        <v>104</v>
      </c>
      <c r="U22" s="7">
        <v>15</v>
      </c>
      <c r="V22" s="7"/>
      <c r="W22" s="7" t="s">
        <v>119</v>
      </c>
      <c r="X22" s="7"/>
      <c r="Y22" s="7" t="s">
        <v>120</v>
      </c>
      <c r="Z22" s="7" t="s">
        <v>121</v>
      </c>
      <c r="AA22" s="7" t="s">
        <v>108</v>
      </c>
    </row>
    <row r="23" spans="1:39" ht="15.75" customHeight="1">
      <c r="B23" s="76" t="s">
        <v>111</v>
      </c>
      <c r="C23" s="7">
        <v>3</v>
      </c>
      <c r="D23" s="7">
        <v>6</v>
      </c>
      <c r="E23" s="7" t="s">
        <v>98</v>
      </c>
      <c r="F23" s="7">
        <v>2011</v>
      </c>
      <c r="G23" s="7" t="s">
        <v>99</v>
      </c>
      <c r="I23" s="13" t="s">
        <v>49</v>
      </c>
      <c r="J23" s="7" t="s">
        <v>58</v>
      </c>
      <c r="K23" s="7" t="s">
        <v>100</v>
      </c>
      <c r="N23" s="7" t="s">
        <v>101</v>
      </c>
      <c r="O23" s="7" t="s">
        <v>115</v>
      </c>
      <c r="P23" s="7" t="s">
        <v>103</v>
      </c>
      <c r="Q23" s="7">
        <v>1378</v>
      </c>
      <c r="R23" s="7" t="s">
        <v>104</v>
      </c>
      <c r="U23" s="7">
        <v>20</v>
      </c>
      <c r="W23" s="7">
        <v>260</v>
      </c>
      <c r="X23" s="7"/>
      <c r="Y23" s="7" t="s">
        <v>122</v>
      </c>
      <c r="Z23" s="7" t="s">
        <v>123</v>
      </c>
      <c r="AA23" s="7" t="s">
        <v>108</v>
      </c>
    </row>
    <row r="24" spans="1:39">
      <c r="B24" s="8" t="s">
        <v>97</v>
      </c>
      <c r="C24" s="7">
        <v>3</v>
      </c>
      <c r="D24" s="14">
        <v>7</v>
      </c>
      <c r="E24" s="7" t="s">
        <v>98</v>
      </c>
      <c r="F24" s="7">
        <v>2011</v>
      </c>
      <c r="G24" s="7" t="s">
        <v>99</v>
      </c>
      <c r="I24" s="13" t="s">
        <v>49</v>
      </c>
      <c r="J24" s="7" t="s">
        <v>58</v>
      </c>
      <c r="K24" s="7" t="s">
        <v>100</v>
      </c>
      <c r="M24" s="20"/>
      <c r="N24" s="7" t="s">
        <v>52</v>
      </c>
      <c r="O24" s="7" t="s">
        <v>124</v>
      </c>
      <c r="P24" s="7" t="s">
        <v>103</v>
      </c>
      <c r="Q24" s="7">
        <v>1378</v>
      </c>
      <c r="R24" s="7" t="s">
        <v>104</v>
      </c>
      <c r="U24" s="7">
        <v>30</v>
      </c>
      <c r="V24" s="7"/>
      <c r="W24" s="7" t="s">
        <v>125</v>
      </c>
      <c r="X24" s="7"/>
      <c r="Y24" s="7" t="s">
        <v>126</v>
      </c>
      <c r="Z24" s="7" t="s">
        <v>127</v>
      </c>
      <c r="AA24" s="7" t="s">
        <v>108</v>
      </c>
    </row>
    <row r="25" spans="1:39">
      <c r="A25" t="s">
        <v>128</v>
      </c>
      <c r="B25" s="76" t="s">
        <v>111</v>
      </c>
      <c r="C25" s="7">
        <v>3</v>
      </c>
      <c r="D25" s="7">
        <v>8</v>
      </c>
      <c r="E25" s="7" t="s">
        <v>98</v>
      </c>
      <c r="F25" s="7">
        <v>2011</v>
      </c>
      <c r="G25" s="7" t="s">
        <v>99</v>
      </c>
      <c r="I25" s="13" t="s">
        <v>49</v>
      </c>
      <c r="J25" s="7" t="s">
        <v>58</v>
      </c>
      <c r="K25" s="7" t="s">
        <v>100</v>
      </c>
      <c r="N25" s="7" t="s">
        <v>52</v>
      </c>
      <c r="O25" s="7" t="s">
        <v>124</v>
      </c>
      <c r="P25" s="7" t="s">
        <v>103</v>
      </c>
      <c r="Q25" s="7">
        <v>1378</v>
      </c>
      <c r="R25" s="7" t="s">
        <v>104</v>
      </c>
      <c r="U25" s="7">
        <v>35</v>
      </c>
      <c r="W25" s="7" t="s">
        <v>129</v>
      </c>
      <c r="X25" s="7"/>
      <c r="Y25" s="75" t="s">
        <v>130</v>
      </c>
      <c r="Z25" s="7" t="s">
        <v>131</v>
      </c>
      <c r="AA25" s="7" t="s">
        <v>108</v>
      </c>
    </row>
    <row r="26" spans="1:39">
      <c r="B26" s="76"/>
      <c r="I26" s="13"/>
      <c r="U26" s="7"/>
      <c r="W26" s="7"/>
      <c r="X26" s="7"/>
      <c r="Y26" s="75"/>
      <c r="Z26" s="7"/>
    </row>
    <row r="27" spans="1:39" s="37" customFormat="1">
      <c r="A27" s="36" t="s">
        <v>132</v>
      </c>
      <c r="B27" s="37" t="s">
        <v>133</v>
      </c>
      <c r="C27" s="38">
        <v>4</v>
      </c>
      <c r="D27" s="38">
        <v>1</v>
      </c>
      <c r="E27" s="38" t="s">
        <v>134</v>
      </c>
      <c r="F27" s="38">
        <v>2014</v>
      </c>
      <c r="G27" s="38" t="s">
        <v>135</v>
      </c>
      <c r="H27" s="38"/>
      <c r="I27" s="40" t="s">
        <v>49</v>
      </c>
      <c r="J27" s="38" t="s">
        <v>136</v>
      </c>
      <c r="K27" s="38" t="s">
        <v>137</v>
      </c>
      <c r="L27" s="38" t="s">
        <v>138</v>
      </c>
      <c r="M27" s="38" t="s">
        <v>139</v>
      </c>
      <c r="N27" s="38" t="s">
        <v>140</v>
      </c>
      <c r="O27" s="37" t="s">
        <v>141</v>
      </c>
      <c r="P27" s="38">
        <v>12</v>
      </c>
      <c r="Q27" s="38">
        <v>678</v>
      </c>
      <c r="R27" s="38"/>
      <c r="S27" s="38" t="s">
        <v>142</v>
      </c>
      <c r="T27" s="37" t="s">
        <v>141</v>
      </c>
      <c r="U27" s="38">
        <v>2</v>
      </c>
      <c r="V27" s="38">
        <v>2</v>
      </c>
      <c r="W27" s="38"/>
      <c r="X27" s="38" t="s">
        <v>143</v>
      </c>
      <c r="Y27" s="38"/>
      <c r="Z27" s="38" t="s">
        <v>144</v>
      </c>
      <c r="AA27" s="38"/>
      <c r="AH27" s="38" t="s">
        <v>69</v>
      </c>
      <c r="AI27" s="38" t="s">
        <v>69</v>
      </c>
      <c r="AJ27" s="38" t="s">
        <v>69</v>
      </c>
      <c r="AK27" s="38" t="s">
        <v>69</v>
      </c>
      <c r="AL27" s="38" t="s">
        <v>69</v>
      </c>
      <c r="AM27" s="37" t="s">
        <v>145</v>
      </c>
    </row>
    <row r="28" spans="1:39">
      <c r="B28" t="s">
        <v>146</v>
      </c>
      <c r="C28" s="7">
        <v>4</v>
      </c>
      <c r="D28" s="7">
        <v>2</v>
      </c>
      <c r="E28" s="7" t="s">
        <v>134</v>
      </c>
      <c r="F28" s="7">
        <v>2014</v>
      </c>
      <c r="G28" s="7" t="s">
        <v>135</v>
      </c>
      <c r="I28" s="13" t="s">
        <v>49</v>
      </c>
      <c r="J28" s="7" t="s">
        <v>136</v>
      </c>
      <c r="K28" s="7" t="s">
        <v>137</v>
      </c>
      <c r="L28" s="7" t="s">
        <v>138</v>
      </c>
      <c r="M28" s="7" t="s">
        <v>139</v>
      </c>
      <c r="N28" s="7" t="s">
        <v>140</v>
      </c>
      <c r="O28" s="7" t="s">
        <v>147</v>
      </c>
      <c r="P28" s="7">
        <v>12</v>
      </c>
      <c r="Q28" s="7">
        <v>678</v>
      </c>
      <c r="S28" s="7" t="s">
        <v>142</v>
      </c>
      <c r="T28" t="s">
        <v>148</v>
      </c>
      <c r="U28" s="7">
        <v>2</v>
      </c>
      <c r="V28" s="7">
        <v>2</v>
      </c>
      <c r="W28" s="7"/>
      <c r="X28" s="7" t="s">
        <v>149</v>
      </c>
      <c r="Y28" s="7"/>
      <c r="Z28" s="7" t="s">
        <v>150</v>
      </c>
      <c r="AA28" s="7" t="s">
        <v>68</v>
      </c>
      <c r="AH28" s="7" t="s">
        <v>69</v>
      </c>
      <c r="AI28" s="7" t="s">
        <v>69</v>
      </c>
      <c r="AJ28" s="7" t="s">
        <v>69</v>
      </c>
      <c r="AK28" s="7" t="s">
        <v>69</v>
      </c>
      <c r="AL28" s="7" t="s">
        <v>69</v>
      </c>
      <c r="AM28" t="s">
        <v>151</v>
      </c>
    </row>
    <row r="29" spans="1:39">
      <c r="B29" t="s">
        <v>152</v>
      </c>
      <c r="C29" s="7">
        <v>4</v>
      </c>
      <c r="D29" s="7">
        <v>3</v>
      </c>
      <c r="E29" s="7" t="s">
        <v>134</v>
      </c>
      <c r="F29" s="7">
        <v>2014</v>
      </c>
      <c r="G29" s="7" t="s">
        <v>135</v>
      </c>
      <c r="I29" s="13" t="s">
        <v>49</v>
      </c>
      <c r="J29" s="7" t="s">
        <v>136</v>
      </c>
      <c r="K29" s="7" t="s">
        <v>137</v>
      </c>
      <c r="L29" s="7" t="s">
        <v>138</v>
      </c>
      <c r="M29" s="7" t="s">
        <v>139</v>
      </c>
      <c r="N29" s="7" t="s">
        <v>140</v>
      </c>
      <c r="O29" s="7" t="s">
        <v>147</v>
      </c>
      <c r="P29" s="7">
        <v>12</v>
      </c>
      <c r="Q29" s="7">
        <v>678</v>
      </c>
      <c r="S29" s="7" t="s">
        <v>142</v>
      </c>
      <c r="T29" t="s">
        <v>148</v>
      </c>
      <c r="U29" s="7">
        <v>2</v>
      </c>
      <c r="V29" s="7">
        <v>2</v>
      </c>
      <c r="W29" s="7"/>
      <c r="X29" s="7" t="s">
        <v>153</v>
      </c>
      <c r="Y29" s="7"/>
      <c r="Z29" s="7" t="s">
        <v>96</v>
      </c>
      <c r="AA29" s="7" t="s">
        <v>68</v>
      </c>
      <c r="AH29" s="7" t="s">
        <v>69</v>
      </c>
      <c r="AI29" s="7" t="s">
        <v>69</v>
      </c>
      <c r="AJ29" s="7" t="s">
        <v>69</v>
      </c>
      <c r="AK29" s="7" t="s">
        <v>69</v>
      </c>
      <c r="AL29" s="7" t="s">
        <v>69</v>
      </c>
      <c r="AM29" t="s">
        <v>151</v>
      </c>
    </row>
    <row r="30" spans="1:39">
      <c r="B30" t="s">
        <v>154</v>
      </c>
      <c r="C30" s="7">
        <v>4</v>
      </c>
      <c r="D30" s="7">
        <v>4</v>
      </c>
      <c r="E30" s="7" t="s">
        <v>134</v>
      </c>
      <c r="F30" s="7">
        <v>2014</v>
      </c>
      <c r="G30" s="7" t="s">
        <v>135</v>
      </c>
      <c r="I30" s="13" t="s">
        <v>49</v>
      </c>
      <c r="J30" s="7" t="s">
        <v>136</v>
      </c>
      <c r="K30" s="7" t="s">
        <v>137</v>
      </c>
      <c r="L30" s="7" t="s">
        <v>138</v>
      </c>
      <c r="M30" s="7" t="s">
        <v>139</v>
      </c>
      <c r="N30" s="7" t="s">
        <v>140</v>
      </c>
      <c r="O30" s="7" t="s">
        <v>147</v>
      </c>
      <c r="P30" s="7">
        <v>12</v>
      </c>
      <c r="Q30" s="7">
        <v>678</v>
      </c>
      <c r="S30" s="7" t="s">
        <v>142</v>
      </c>
      <c r="T30" t="s">
        <v>148</v>
      </c>
      <c r="U30" s="7">
        <v>2</v>
      </c>
      <c r="V30" s="7">
        <v>2</v>
      </c>
      <c r="W30" s="7"/>
      <c r="X30" s="7" t="s">
        <v>155</v>
      </c>
      <c r="Y30" s="7"/>
      <c r="Z30" s="7" t="s">
        <v>156</v>
      </c>
      <c r="AA30" s="7" t="s">
        <v>68</v>
      </c>
      <c r="AH30" s="7" t="s">
        <v>69</v>
      </c>
      <c r="AI30" s="7" t="s">
        <v>69</v>
      </c>
      <c r="AJ30" s="7" t="s">
        <v>69</v>
      </c>
      <c r="AK30" s="7" t="s">
        <v>69</v>
      </c>
      <c r="AL30" s="7" t="s">
        <v>69</v>
      </c>
      <c r="AM30" t="s">
        <v>157</v>
      </c>
    </row>
    <row r="31" spans="1:39">
      <c r="B31" t="s">
        <v>158</v>
      </c>
      <c r="C31" s="7">
        <v>4</v>
      </c>
      <c r="D31" s="7">
        <v>5</v>
      </c>
      <c r="E31" s="7" t="s">
        <v>134</v>
      </c>
      <c r="F31" s="7">
        <v>2014</v>
      </c>
      <c r="G31" s="7" t="s">
        <v>135</v>
      </c>
      <c r="I31" s="13" t="s">
        <v>49</v>
      </c>
      <c r="J31" s="7" t="s">
        <v>136</v>
      </c>
      <c r="K31" s="7" t="s">
        <v>137</v>
      </c>
      <c r="L31" s="7" t="s">
        <v>138</v>
      </c>
      <c r="M31" s="7" t="s">
        <v>139</v>
      </c>
      <c r="N31" s="7" t="s">
        <v>140</v>
      </c>
      <c r="O31" s="7" t="s">
        <v>147</v>
      </c>
      <c r="P31" s="7">
        <v>12</v>
      </c>
      <c r="Q31" s="7">
        <v>678</v>
      </c>
      <c r="S31" s="7" t="s">
        <v>142</v>
      </c>
      <c r="T31" t="s">
        <v>148</v>
      </c>
      <c r="U31" s="7">
        <v>2</v>
      </c>
      <c r="V31" s="7">
        <v>2</v>
      </c>
      <c r="W31" s="7"/>
      <c r="X31" s="7" t="s">
        <v>159</v>
      </c>
      <c r="Y31" s="7"/>
      <c r="Z31" s="7" t="s">
        <v>160</v>
      </c>
      <c r="AA31" s="7" t="s">
        <v>68</v>
      </c>
      <c r="AH31" s="7" t="s">
        <v>69</v>
      </c>
      <c r="AI31" s="7" t="s">
        <v>69</v>
      </c>
      <c r="AJ31" s="7" t="s">
        <v>69</v>
      </c>
      <c r="AK31" s="7" t="s">
        <v>69</v>
      </c>
      <c r="AL31" s="7" t="s">
        <v>69</v>
      </c>
      <c r="AM31" t="s">
        <v>157</v>
      </c>
    </row>
    <row r="32" spans="1:39">
      <c r="B32" t="s">
        <v>161</v>
      </c>
      <c r="C32" s="7">
        <v>4</v>
      </c>
      <c r="D32" s="7">
        <v>6</v>
      </c>
      <c r="E32" s="7" t="s">
        <v>134</v>
      </c>
      <c r="F32" s="7">
        <v>2014</v>
      </c>
      <c r="G32" s="7" t="s">
        <v>135</v>
      </c>
      <c r="I32" s="13" t="s">
        <v>49</v>
      </c>
      <c r="J32" s="7" t="s">
        <v>136</v>
      </c>
      <c r="K32" s="7" t="s">
        <v>137</v>
      </c>
      <c r="L32" s="7" t="s">
        <v>138</v>
      </c>
      <c r="M32" s="7" t="s">
        <v>139</v>
      </c>
      <c r="N32" s="7" t="s">
        <v>140</v>
      </c>
      <c r="O32" s="7" t="s">
        <v>147</v>
      </c>
      <c r="P32" s="7">
        <v>12</v>
      </c>
      <c r="Q32" s="7">
        <v>678</v>
      </c>
      <c r="S32" s="7" t="s">
        <v>142</v>
      </c>
      <c r="T32" t="s">
        <v>148</v>
      </c>
      <c r="U32" s="7">
        <v>2</v>
      </c>
      <c r="V32" s="7">
        <v>2</v>
      </c>
      <c r="W32" s="7"/>
      <c r="X32" s="7" t="s">
        <v>162</v>
      </c>
      <c r="Y32" s="7"/>
      <c r="Z32" s="7" t="s">
        <v>163</v>
      </c>
      <c r="AA32" s="7" t="s">
        <v>68</v>
      </c>
      <c r="AH32" s="7" t="s">
        <v>69</v>
      </c>
      <c r="AI32" s="7" t="s">
        <v>69</v>
      </c>
      <c r="AJ32" s="7" t="s">
        <v>69</v>
      </c>
      <c r="AK32" s="7" t="s">
        <v>69</v>
      </c>
      <c r="AL32" s="7" t="s">
        <v>69</v>
      </c>
      <c r="AM32" t="s">
        <v>164</v>
      </c>
    </row>
    <row r="33" spans="1:39">
      <c r="B33" t="s">
        <v>165</v>
      </c>
      <c r="C33" s="7">
        <v>4</v>
      </c>
      <c r="D33" s="7">
        <v>7</v>
      </c>
      <c r="E33" s="7" t="s">
        <v>134</v>
      </c>
      <c r="F33" s="7">
        <v>2014</v>
      </c>
      <c r="G33" s="7" t="s">
        <v>135</v>
      </c>
      <c r="I33" s="13" t="s">
        <v>49</v>
      </c>
      <c r="J33" s="7" t="s">
        <v>136</v>
      </c>
      <c r="K33" s="7" t="s">
        <v>137</v>
      </c>
      <c r="L33" s="7" t="s">
        <v>138</v>
      </c>
      <c r="M33" s="7" t="s">
        <v>139</v>
      </c>
      <c r="N33" s="7" t="s">
        <v>140</v>
      </c>
      <c r="O33" s="7" t="s">
        <v>147</v>
      </c>
      <c r="P33" s="7">
        <v>12</v>
      </c>
      <c r="Q33" s="7">
        <v>678</v>
      </c>
      <c r="S33" s="7" t="s">
        <v>142</v>
      </c>
      <c r="T33" t="s">
        <v>148</v>
      </c>
      <c r="U33" s="7">
        <v>2</v>
      </c>
      <c r="V33" s="7">
        <v>2</v>
      </c>
      <c r="W33" s="7"/>
      <c r="X33" s="7" t="s">
        <v>166</v>
      </c>
      <c r="Y33" s="7"/>
      <c r="Z33" s="7" t="s">
        <v>167</v>
      </c>
      <c r="AA33" s="7" t="s">
        <v>68</v>
      </c>
      <c r="AH33" s="7" t="s">
        <v>69</v>
      </c>
      <c r="AI33" s="7" t="s">
        <v>69</v>
      </c>
      <c r="AJ33" s="7" t="s">
        <v>69</v>
      </c>
      <c r="AK33" s="7" t="s">
        <v>69</v>
      </c>
      <c r="AL33" s="7" t="s">
        <v>69</v>
      </c>
      <c r="AM33" t="s">
        <v>164</v>
      </c>
    </row>
    <row r="34" spans="1:39" s="37" customFormat="1">
      <c r="A34" s="36" t="s">
        <v>168</v>
      </c>
      <c r="B34" s="37" t="s">
        <v>169</v>
      </c>
      <c r="C34" s="38">
        <v>5</v>
      </c>
      <c r="D34" s="38">
        <v>1</v>
      </c>
      <c r="E34" s="38" t="s">
        <v>170</v>
      </c>
      <c r="F34" s="38">
        <v>2023</v>
      </c>
      <c r="G34" s="38" t="s">
        <v>57</v>
      </c>
      <c r="H34" s="38">
        <v>2021</v>
      </c>
      <c r="I34" s="40" t="s">
        <v>49</v>
      </c>
      <c r="J34" s="38" t="s">
        <v>50</v>
      </c>
      <c r="K34" s="38" t="s">
        <v>171</v>
      </c>
      <c r="L34" s="38" t="s">
        <v>172</v>
      </c>
      <c r="M34" s="38" t="s">
        <v>173</v>
      </c>
      <c r="N34" s="38" t="s">
        <v>101</v>
      </c>
      <c r="O34" s="38" t="s">
        <v>174</v>
      </c>
      <c r="P34" s="38">
        <v>13</v>
      </c>
      <c r="Q34" s="38">
        <v>772</v>
      </c>
      <c r="R34" s="38"/>
      <c r="S34" s="38">
        <v>1</v>
      </c>
      <c r="T34" s="37" t="s">
        <v>175</v>
      </c>
      <c r="U34" s="38">
        <v>34</v>
      </c>
      <c r="V34" s="38">
        <v>34</v>
      </c>
      <c r="W34" s="38" t="s">
        <v>176</v>
      </c>
      <c r="Y34" s="38" t="s">
        <v>177</v>
      </c>
      <c r="Z34" s="38">
        <v>0</v>
      </c>
      <c r="AA34" s="38" t="s">
        <v>68</v>
      </c>
      <c r="AH34" s="38" t="s">
        <v>178</v>
      </c>
      <c r="AI34" s="38" t="s">
        <v>69</v>
      </c>
      <c r="AJ34" s="38" t="s">
        <v>69</v>
      </c>
      <c r="AK34" s="38" t="s">
        <v>69</v>
      </c>
      <c r="AL34" s="38" t="s">
        <v>69</v>
      </c>
      <c r="AM34" s="37" t="s">
        <v>179</v>
      </c>
    </row>
    <row r="35" spans="1:39">
      <c r="B35" t="s">
        <v>169</v>
      </c>
      <c r="C35" s="7">
        <v>5</v>
      </c>
      <c r="D35" s="7">
        <v>2</v>
      </c>
      <c r="E35" s="7" t="s">
        <v>170</v>
      </c>
      <c r="F35" s="7">
        <v>2023</v>
      </c>
      <c r="G35" s="7" t="s">
        <v>57</v>
      </c>
      <c r="H35" s="7">
        <v>2021</v>
      </c>
      <c r="I35" s="13" t="s">
        <v>49</v>
      </c>
      <c r="J35" s="7" t="s">
        <v>50</v>
      </c>
      <c r="K35" s="7" t="s">
        <v>171</v>
      </c>
      <c r="L35" s="7" t="s">
        <v>172</v>
      </c>
      <c r="M35" s="7" t="s">
        <v>173</v>
      </c>
      <c r="N35" s="7" t="s">
        <v>101</v>
      </c>
      <c r="O35" s="7" t="s">
        <v>174</v>
      </c>
      <c r="P35" s="7">
        <v>13</v>
      </c>
      <c r="Q35" s="7">
        <v>772</v>
      </c>
      <c r="S35" s="7">
        <v>1</v>
      </c>
      <c r="T35" t="s">
        <v>180</v>
      </c>
      <c r="U35" s="7">
        <v>34</v>
      </c>
      <c r="V35" s="7">
        <v>34</v>
      </c>
      <c r="W35" s="7" t="s">
        <v>181</v>
      </c>
      <c r="Y35" s="7" t="s">
        <v>182</v>
      </c>
      <c r="Z35" s="7">
        <v>0</v>
      </c>
      <c r="AA35" s="7" t="s">
        <v>68</v>
      </c>
      <c r="AH35" s="7" t="s">
        <v>69</v>
      </c>
      <c r="AI35" s="7" t="s">
        <v>69</v>
      </c>
      <c r="AJ35" s="7" t="s">
        <v>69</v>
      </c>
      <c r="AK35" s="7" t="s">
        <v>69</v>
      </c>
      <c r="AL35" s="7" t="s">
        <v>69</v>
      </c>
      <c r="AM35" t="s">
        <v>179</v>
      </c>
    </row>
    <row r="36" spans="1:39">
      <c r="B36" t="s">
        <v>169</v>
      </c>
      <c r="C36" s="7">
        <v>5</v>
      </c>
      <c r="D36" s="7">
        <v>3</v>
      </c>
      <c r="E36" s="7" t="s">
        <v>170</v>
      </c>
      <c r="F36" s="7">
        <v>2023</v>
      </c>
      <c r="G36" s="7" t="s">
        <v>57</v>
      </c>
      <c r="H36" s="7">
        <v>2021</v>
      </c>
      <c r="I36" s="13" t="s">
        <v>49</v>
      </c>
      <c r="J36" s="7" t="s">
        <v>50</v>
      </c>
      <c r="K36" s="7" t="s">
        <v>171</v>
      </c>
      <c r="L36" s="7" t="s">
        <v>172</v>
      </c>
      <c r="M36" s="7" t="s">
        <v>173</v>
      </c>
      <c r="N36" s="7" t="s">
        <v>101</v>
      </c>
      <c r="O36" s="7" t="s">
        <v>174</v>
      </c>
      <c r="P36" s="7">
        <v>13</v>
      </c>
      <c r="Q36" s="7">
        <v>772</v>
      </c>
      <c r="S36" s="7">
        <v>1</v>
      </c>
      <c r="T36" t="s">
        <v>180</v>
      </c>
      <c r="U36" s="7">
        <v>34</v>
      </c>
      <c r="V36" s="7">
        <v>34</v>
      </c>
      <c r="W36" s="7" t="s">
        <v>183</v>
      </c>
      <c r="Y36" s="7" t="s">
        <v>184</v>
      </c>
      <c r="Z36" s="21">
        <v>0</v>
      </c>
      <c r="AA36" s="7" t="s">
        <v>68</v>
      </c>
      <c r="AH36" s="7" t="s">
        <v>69</v>
      </c>
      <c r="AI36" s="7" t="s">
        <v>69</v>
      </c>
      <c r="AJ36" s="7" t="s">
        <v>69</v>
      </c>
      <c r="AK36" s="7" t="s">
        <v>69</v>
      </c>
      <c r="AL36" s="7" t="s">
        <v>69</v>
      </c>
      <c r="AM36" t="s">
        <v>179</v>
      </c>
    </row>
    <row r="37" spans="1:39">
      <c r="B37" t="s">
        <v>169</v>
      </c>
      <c r="C37" s="7">
        <v>5</v>
      </c>
      <c r="D37" s="7">
        <v>4</v>
      </c>
      <c r="E37" s="7" t="s">
        <v>170</v>
      </c>
      <c r="F37" s="7">
        <v>2023</v>
      </c>
      <c r="G37" s="7" t="s">
        <v>57</v>
      </c>
      <c r="H37" s="7">
        <v>2021</v>
      </c>
      <c r="I37" s="13" t="s">
        <v>49</v>
      </c>
      <c r="J37" s="7" t="s">
        <v>50</v>
      </c>
      <c r="K37" s="7" t="s">
        <v>171</v>
      </c>
      <c r="L37" s="7" t="s">
        <v>172</v>
      </c>
      <c r="M37" s="7" t="s">
        <v>173</v>
      </c>
      <c r="N37" s="7" t="s">
        <v>101</v>
      </c>
      <c r="O37" s="7" t="s">
        <v>174</v>
      </c>
      <c r="P37" s="7">
        <v>13</v>
      </c>
      <c r="Q37" s="7">
        <v>772</v>
      </c>
      <c r="S37" s="7">
        <v>1</v>
      </c>
      <c r="T37" t="s">
        <v>185</v>
      </c>
      <c r="U37" s="7">
        <v>34</v>
      </c>
      <c r="V37" s="7">
        <v>34</v>
      </c>
      <c r="W37" s="7" t="s">
        <v>186</v>
      </c>
      <c r="Y37" s="7" t="s">
        <v>187</v>
      </c>
      <c r="Z37" s="21">
        <v>0</v>
      </c>
      <c r="AA37" s="7" t="s">
        <v>68</v>
      </c>
      <c r="AH37" s="7" t="s">
        <v>69</v>
      </c>
      <c r="AI37" s="7" t="s">
        <v>69</v>
      </c>
      <c r="AJ37" s="7" t="s">
        <v>69</v>
      </c>
      <c r="AK37" s="7" t="s">
        <v>69</v>
      </c>
      <c r="AL37" s="7" t="s">
        <v>69</v>
      </c>
      <c r="AM37" t="s">
        <v>179</v>
      </c>
    </row>
    <row r="38" spans="1:39">
      <c r="B38" t="s">
        <v>169</v>
      </c>
      <c r="C38" s="7">
        <v>5</v>
      </c>
      <c r="D38" s="7">
        <v>5</v>
      </c>
      <c r="E38" s="7" t="s">
        <v>170</v>
      </c>
      <c r="F38" s="7">
        <v>2023</v>
      </c>
      <c r="G38" s="7" t="s">
        <v>57</v>
      </c>
      <c r="H38" s="7">
        <v>2021</v>
      </c>
      <c r="I38" s="13" t="s">
        <v>49</v>
      </c>
      <c r="J38" s="7" t="s">
        <v>50</v>
      </c>
      <c r="K38" s="7" t="s">
        <v>171</v>
      </c>
      <c r="L38" s="7" t="s">
        <v>172</v>
      </c>
      <c r="M38" s="7" t="s">
        <v>173</v>
      </c>
      <c r="N38" s="7" t="s">
        <v>101</v>
      </c>
      <c r="O38" s="7" t="s">
        <v>174</v>
      </c>
      <c r="P38" s="7">
        <v>13</v>
      </c>
      <c r="Q38" s="7">
        <v>772</v>
      </c>
      <c r="S38" s="7">
        <v>1</v>
      </c>
      <c r="T38" t="s">
        <v>185</v>
      </c>
      <c r="U38" s="7">
        <v>34</v>
      </c>
      <c r="V38" s="7">
        <v>34</v>
      </c>
      <c r="W38" s="7" t="s">
        <v>188</v>
      </c>
      <c r="Y38" s="7" t="s">
        <v>189</v>
      </c>
      <c r="Z38" s="21">
        <v>0</v>
      </c>
      <c r="AA38" s="7" t="s">
        <v>68</v>
      </c>
      <c r="AH38" s="7" t="s">
        <v>69</v>
      </c>
      <c r="AI38" s="7" t="s">
        <v>69</v>
      </c>
      <c r="AJ38" s="7" t="s">
        <v>69</v>
      </c>
      <c r="AK38" s="7" t="s">
        <v>69</v>
      </c>
      <c r="AL38" s="7" t="s">
        <v>69</v>
      </c>
      <c r="AM38" t="s">
        <v>179</v>
      </c>
    </row>
    <row r="39" spans="1:39">
      <c r="B39" t="s">
        <v>169</v>
      </c>
      <c r="C39" s="7">
        <v>6</v>
      </c>
      <c r="D39" s="7">
        <v>1</v>
      </c>
      <c r="E39" s="7" t="s">
        <v>190</v>
      </c>
      <c r="F39" s="7">
        <v>2011</v>
      </c>
      <c r="G39" s="7" t="s">
        <v>191</v>
      </c>
      <c r="H39" s="7">
        <v>2008</v>
      </c>
      <c r="I39" s="13" t="s">
        <v>49</v>
      </c>
      <c r="J39" s="7" t="s">
        <v>50</v>
      </c>
      <c r="K39" s="7" t="s">
        <v>171</v>
      </c>
      <c r="L39" s="7" t="s">
        <v>172</v>
      </c>
      <c r="M39" s="7" t="s">
        <v>173</v>
      </c>
      <c r="N39" s="7" t="s">
        <v>101</v>
      </c>
      <c r="O39" s="7" t="s">
        <v>192</v>
      </c>
      <c r="P39" s="7">
        <v>13</v>
      </c>
      <c r="Q39" s="7">
        <v>772</v>
      </c>
      <c r="S39" s="7">
        <v>1</v>
      </c>
      <c r="T39" t="s">
        <v>193</v>
      </c>
      <c r="U39" s="7">
        <v>27</v>
      </c>
      <c r="V39" s="7">
        <v>27</v>
      </c>
      <c r="X39" s="7" t="s">
        <v>194</v>
      </c>
      <c r="Y39" s="7"/>
      <c r="Z39" s="21" t="s">
        <v>195</v>
      </c>
      <c r="AA39" s="7" t="s">
        <v>68</v>
      </c>
      <c r="AH39" s="7" t="s">
        <v>69</v>
      </c>
      <c r="AI39" s="7" t="s">
        <v>69</v>
      </c>
      <c r="AJ39" s="7" t="s">
        <v>69</v>
      </c>
      <c r="AK39" s="7" t="s">
        <v>69</v>
      </c>
      <c r="AL39" s="7" t="s">
        <v>69</v>
      </c>
      <c r="AM39" t="s">
        <v>196</v>
      </c>
    </row>
    <row r="40" spans="1:39">
      <c r="B40" t="s">
        <v>169</v>
      </c>
      <c r="C40" s="7">
        <v>6</v>
      </c>
      <c r="D40" s="7">
        <v>2</v>
      </c>
      <c r="E40" s="7" t="s">
        <v>190</v>
      </c>
      <c r="F40" s="7">
        <v>2011</v>
      </c>
      <c r="G40" s="7" t="s">
        <v>191</v>
      </c>
      <c r="H40" s="7">
        <v>2008</v>
      </c>
      <c r="I40" s="13" t="s">
        <v>49</v>
      </c>
      <c r="J40" s="7" t="s">
        <v>50</v>
      </c>
      <c r="K40" s="7" t="s">
        <v>171</v>
      </c>
      <c r="L40" s="7" t="s">
        <v>172</v>
      </c>
      <c r="M40" s="7" t="s">
        <v>173</v>
      </c>
      <c r="N40" s="7" t="s">
        <v>101</v>
      </c>
      <c r="O40" s="7" t="s">
        <v>197</v>
      </c>
      <c r="P40" s="7">
        <v>13</v>
      </c>
      <c r="Q40" s="7">
        <v>772</v>
      </c>
      <c r="S40" s="7">
        <v>1</v>
      </c>
      <c r="T40" t="s">
        <v>198</v>
      </c>
      <c r="U40" s="7">
        <v>27</v>
      </c>
      <c r="V40" s="7">
        <v>27</v>
      </c>
      <c r="X40" s="7" t="s">
        <v>199</v>
      </c>
      <c r="Y40" s="7"/>
      <c r="Z40" s="21" t="s">
        <v>200</v>
      </c>
      <c r="AA40" s="7" t="s">
        <v>68</v>
      </c>
      <c r="AH40" s="7" t="s">
        <v>178</v>
      </c>
      <c r="AI40" s="7" t="s">
        <v>69</v>
      </c>
      <c r="AJ40" s="7" t="s">
        <v>69</v>
      </c>
      <c r="AK40" s="7" t="s">
        <v>69</v>
      </c>
      <c r="AL40" s="7" t="s">
        <v>69</v>
      </c>
      <c r="AM40" t="s">
        <v>196</v>
      </c>
    </row>
    <row r="41" spans="1:39" s="45" customFormat="1">
      <c r="A41" s="41" t="s">
        <v>201</v>
      </c>
      <c r="B41" s="42" t="s">
        <v>202</v>
      </c>
      <c r="C41" s="43">
        <v>7</v>
      </c>
      <c r="D41" s="43">
        <v>1</v>
      </c>
      <c r="E41" s="43" t="s">
        <v>203</v>
      </c>
      <c r="F41" s="43">
        <v>2015</v>
      </c>
      <c r="G41" s="43" t="s">
        <v>57</v>
      </c>
      <c r="H41" s="43">
        <v>2010</v>
      </c>
      <c r="I41" s="44" t="s">
        <v>49</v>
      </c>
      <c r="J41" s="43" t="s">
        <v>58</v>
      </c>
      <c r="K41" s="43" t="s">
        <v>204</v>
      </c>
      <c r="L41" s="43" t="s">
        <v>205</v>
      </c>
      <c r="M41" s="43" t="s">
        <v>206</v>
      </c>
      <c r="N41" s="43" t="s">
        <v>52</v>
      </c>
      <c r="O41" s="43" t="s">
        <v>62</v>
      </c>
      <c r="P41" s="43" t="s">
        <v>207</v>
      </c>
      <c r="Q41" s="43">
        <v>887</v>
      </c>
      <c r="R41" s="43"/>
      <c r="S41" s="45" t="s">
        <v>208</v>
      </c>
      <c r="T41" s="45" t="s">
        <v>209</v>
      </c>
      <c r="U41" s="43">
        <v>92</v>
      </c>
      <c r="V41" s="43">
        <v>92</v>
      </c>
      <c r="W41" s="43" t="s">
        <v>210</v>
      </c>
      <c r="X41" s="43" t="s">
        <v>211</v>
      </c>
      <c r="Y41" s="43" t="s">
        <v>212</v>
      </c>
      <c r="Z41" s="43" t="s">
        <v>213</v>
      </c>
      <c r="AA41" s="43" t="s">
        <v>68</v>
      </c>
      <c r="AH41" s="43" t="s">
        <v>69</v>
      </c>
      <c r="AI41" s="43" t="s">
        <v>69</v>
      </c>
      <c r="AJ41" s="43"/>
      <c r="AK41" s="43" t="s">
        <v>69</v>
      </c>
      <c r="AL41" s="43" t="s">
        <v>69</v>
      </c>
      <c r="AM41" s="45" t="s">
        <v>214</v>
      </c>
    </row>
    <row r="42" spans="1:39" s="46" customFormat="1">
      <c r="B42" s="47" t="s">
        <v>202</v>
      </c>
      <c r="C42" s="48">
        <v>7</v>
      </c>
      <c r="D42" s="48">
        <v>2</v>
      </c>
      <c r="E42" s="48" t="s">
        <v>203</v>
      </c>
      <c r="F42" s="48">
        <v>2015</v>
      </c>
      <c r="G42" s="48" t="s">
        <v>57</v>
      </c>
      <c r="H42" s="48">
        <v>2010</v>
      </c>
      <c r="I42" s="49" t="s">
        <v>49</v>
      </c>
      <c r="J42" s="48" t="s">
        <v>58</v>
      </c>
      <c r="K42" s="48" t="s">
        <v>204</v>
      </c>
      <c r="L42" s="48" t="s">
        <v>205</v>
      </c>
      <c r="M42" s="48" t="s">
        <v>206</v>
      </c>
      <c r="N42" s="48" t="s">
        <v>52</v>
      </c>
      <c r="O42" s="48" t="s">
        <v>62</v>
      </c>
      <c r="P42" s="48" t="s">
        <v>207</v>
      </c>
      <c r="Q42" s="48">
        <v>887</v>
      </c>
      <c r="R42" s="48"/>
      <c r="S42" s="46" t="s">
        <v>208</v>
      </c>
      <c r="T42" s="46" t="s">
        <v>209</v>
      </c>
      <c r="U42" s="48">
        <v>92</v>
      </c>
      <c r="V42" s="48">
        <v>92</v>
      </c>
      <c r="W42" s="48" t="s">
        <v>215</v>
      </c>
      <c r="X42" s="48" t="s">
        <v>216</v>
      </c>
      <c r="Y42" s="48" t="s">
        <v>217</v>
      </c>
      <c r="Z42" s="48" t="s">
        <v>218</v>
      </c>
      <c r="AA42" s="48" t="s">
        <v>68</v>
      </c>
      <c r="AH42" s="48" t="s">
        <v>69</v>
      </c>
      <c r="AI42" s="48" t="s">
        <v>69</v>
      </c>
      <c r="AJ42" s="48"/>
      <c r="AK42" s="48" t="s">
        <v>69</v>
      </c>
      <c r="AL42" s="48" t="s">
        <v>69</v>
      </c>
      <c r="AM42" s="46" t="s">
        <v>219</v>
      </c>
    </row>
    <row r="43" spans="1:39" s="46" customFormat="1">
      <c r="B43" s="47" t="s">
        <v>202</v>
      </c>
      <c r="C43" s="48">
        <v>7</v>
      </c>
      <c r="D43" s="48">
        <v>3</v>
      </c>
      <c r="E43" s="48" t="s">
        <v>203</v>
      </c>
      <c r="F43" s="48">
        <v>2015</v>
      </c>
      <c r="G43" s="48" t="s">
        <v>57</v>
      </c>
      <c r="H43" s="48">
        <v>2010</v>
      </c>
      <c r="I43" s="49" t="s">
        <v>49</v>
      </c>
      <c r="J43" s="48" t="s">
        <v>58</v>
      </c>
      <c r="K43" s="48" t="s">
        <v>204</v>
      </c>
      <c r="L43" s="48" t="s">
        <v>205</v>
      </c>
      <c r="M43" s="48" t="s">
        <v>206</v>
      </c>
      <c r="N43" s="48" t="s">
        <v>52</v>
      </c>
      <c r="O43" s="48" t="s">
        <v>62</v>
      </c>
      <c r="P43" s="48" t="s">
        <v>207</v>
      </c>
      <c r="Q43" s="48">
        <v>887</v>
      </c>
      <c r="R43" s="48"/>
      <c r="S43" s="46" t="s">
        <v>208</v>
      </c>
      <c r="T43" s="46" t="s">
        <v>209</v>
      </c>
      <c r="U43" s="48">
        <v>92</v>
      </c>
      <c r="V43" s="48">
        <v>92</v>
      </c>
      <c r="W43" s="48" t="s">
        <v>220</v>
      </c>
      <c r="X43" s="48" t="s">
        <v>221</v>
      </c>
      <c r="Y43" s="48" t="s">
        <v>222</v>
      </c>
      <c r="Z43" s="48" t="s">
        <v>223</v>
      </c>
      <c r="AA43" s="48" t="s">
        <v>68</v>
      </c>
      <c r="AH43" s="48" t="s">
        <v>69</v>
      </c>
      <c r="AI43" s="48" t="s">
        <v>69</v>
      </c>
      <c r="AJ43" s="48"/>
      <c r="AK43" s="48" t="s">
        <v>69</v>
      </c>
      <c r="AL43" s="48" t="s">
        <v>69</v>
      </c>
      <c r="AM43" s="46" t="s">
        <v>224</v>
      </c>
    </row>
    <row r="44" spans="1:39" s="46" customFormat="1">
      <c r="B44" s="47" t="s">
        <v>225</v>
      </c>
      <c r="C44" s="48">
        <v>8</v>
      </c>
      <c r="D44" s="48">
        <v>1</v>
      </c>
      <c r="E44" s="48" t="s">
        <v>226</v>
      </c>
      <c r="F44" s="48">
        <v>2016</v>
      </c>
      <c r="G44" s="48" t="s">
        <v>227</v>
      </c>
      <c r="H44" s="48" t="s">
        <v>228</v>
      </c>
      <c r="I44" s="49" t="s">
        <v>49</v>
      </c>
      <c r="J44" s="48" t="s">
        <v>58</v>
      </c>
      <c r="K44" s="48" t="s">
        <v>229</v>
      </c>
      <c r="L44" s="48" t="s">
        <v>230</v>
      </c>
      <c r="M44" s="48" t="s">
        <v>231</v>
      </c>
      <c r="N44" s="48" t="s">
        <v>52</v>
      </c>
      <c r="O44" s="48" t="s">
        <v>62</v>
      </c>
      <c r="P44" s="48" t="s">
        <v>207</v>
      </c>
      <c r="Q44" s="48">
        <v>959</v>
      </c>
      <c r="R44" s="48" t="s">
        <v>232</v>
      </c>
      <c r="S44" s="46" t="s">
        <v>233</v>
      </c>
      <c r="T44" s="46" t="s">
        <v>209</v>
      </c>
      <c r="U44" s="48">
        <v>52</v>
      </c>
      <c r="V44" s="48">
        <v>52</v>
      </c>
      <c r="W44" s="48" t="s">
        <v>234</v>
      </c>
      <c r="X44" s="48" t="s">
        <v>235</v>
      </c>
      <c r="Y44" s="48" t="s">
        <v>236</v>
      </c>
      <c r="Z44" s="48" t="s">
        <v>237</v>
      </c>
      <c r="AA44" s="48" t="s">
        <v>68</v>
      </c>
      <c r="AH44" s="48" t="s">
        <v>69</v>
      </c>
      <c r="AI44" s="48" t="s">
        <v>69</v>
      </c>
      <c r="AJ44" s="48" t="s">
        <v>69</v>
      </c>
      <c r="AK44" s="48" t="s">
        <v>69</v>
      </c>
      <c r="AL44" s="48" t="s">
        <v>69</v>
      </c>
      <c r="AM44" s="46" t="s">
        <v>238</v>
      </c>
    </row>
    <row r="45" spans="1:39" s="46" customFormat="1">
      <c r="B45" s="47" t="s">
        <v>225</v>
      </c>
      <c r="C45" s="48">
        <v>8</v>
      </c>
      <c r="D45" s="48">
        <v>2</v>
      </c>
      <c r="E45" s="48" t="s">
        <v>226</v>
      </c>
      <c r="F45" s="48">
        <v>2016</v>
      </c>
      <c r="G45" s="48" t="s">
        <v>227</v>
      </c>
      <c r="H45" s="48" t="s">
        <v>228</v>
      </c>
      <c r="I45" s="49" t="s">
        <v>49</v>
      </c>
      <c r="J45" s="48" t="s">
        <v>58</v>
      </c>
      <c r="K45" s="48" t="s">
        <v>229</v>
      </c>
      <c r="L45" s="48" t="s">
        <v>230</v>
      </c>
      <c r="M45" s="48" t="s">
        <v>231</v>
      </c>
      <c r="N45" s="48" t="s">
        <v>52</v>
      </c>
      <c r="O45" s="48" t="s">
        <v>62</v>
      </c>
      <c r="P45" s="48" t="s">
        <v>207</v>
      </c>
      <c r="Q45" s="48">
        <v>959</v>
      </c>
      <c r="R45" s="48" t="s">
        <v>232</v>
      </c>
      <c r="S45" s="46" t="s">
        <v>233</v>
      </c>
      <c r="T45" s="46" t="s">
        <v>209</v>
      </c>
      <c r="U45" s="48">
        <v>52</v>
      </c>
      <c r="V45" s="48">
        <v>52</v>
      </c>
      <c r="W45" s="48" t="s">
        <v>239</v>
      </c>
      <c r="X45" s="48" t="s">
        <v>240</v>
      </c>
      <c r="Y45" s="48" t="s">
        <v>241</v>
      </c>
      <c r="Z45" s="48" t="s">
        <v>242</v>
      </c>
      <c r="AA45" s="48" t="s">
        <v>68</v>
      </c>
      <c r="AH45" s="48" t="s">
        <v>69</v>
      </c>
      <c r="AI45" s="48" t="s">
        <v>69</v>
      </c>
      <c r="AJ45" s="48" t="s">
        <v>69</v>
      </c>
      <c r="AK45" s="48" t="s">
        <v>69</v>
      </c>
      <c r="AL45" s="48" t="s">
        <v>69</v>
      </c>
      <c r="AM45" s="46" t="s">
        <v>243</v>
      </c>
    </row>
    <row r="46" spans="1:39" s="46" customFormat="1">
      <c r="B46" s="47" t="s">
        <v>225</v>
      </c>
      <c r="C46" s="48">
        <v>8</v>
      </c>
      <c r="D46" s="48">
        <v>3</v>
      </c>
      <c r="E46" s="48" t="s">
        <v>226</v>
      </c>
      <c r="F46" s="48">
        <v>2016</v>
      </c>
      <c r="G46" s="48" t="s">
        <v>227</v>
      </c>
      <c r="H46" s="48" t="s">
        <v>228</v>
      </c>
      <c r="I46" s="49" t="s">
        <v>49</v>
      </c>
      <c r="J46" s="48" t="s">
        <v>58</v>
      </c>
      <c r="K46" s="48" t="s">
        <v>229</v>
      </c>
      <c r="L46" s="48" t="s">
        <v>230</v>
      </c>
      <c r="M46" s="48" t="s">
        <v>231</v>
      </c>
      <c r="N46" s="48" t="s">
        <v>52</v>
      </c>
      <c r="O46" s="48" t="s">
        <v>62</v>
      </c>
      <c r="P46" s="48" t="s">
        <v>207</v>
      </c>
      <c r="Q46" s="48">
        <v>959</v>
      </c>
      <c r="R46" s="48" t="s">
        <v>232</v>
      </c>
      <c r="S46" s="46" t="s">
        <v>233</v>
      </c>
      <c r="T46" s="46" t="s">
        <v>209</v>
      </c>
      <c r="U46" s="48">
        <v>52</v>
      </c>
      <c r="V46" s="48">
        <v>52</v>
      </c>
      <c r="W46" s="48" t="s">
        <v>244</v>
      </c>
      <c r="X46" s="48" t="s">
        <v>245</v>
      </c>
      <c r="Y46" s="48" t="s">
        <v>246</v>
      </c>
      <c r="Z46" s="48" t="s">
        <v>247</v>
      </c>
      <c r="AA46" s="48" t="s">
        <v>68</v>
      </c>
      <c r="AH46" s="48" t="s">
        <v>69</v>
      </c>
      <c r="AI46" s="48" t="s">
        <v>69</v>
      </c>
      <c r="AJ46" s="48" t="s">
        <v>69</v>
      </c>
      <c r="AK46" s="48" t="s">
        <v>69</v>
      </c>
      <c r="AL46" s="48" t="s">
        <v>69</v>
      </c>
      <c r="AM46" s="46" t="s">
        <v>248</v>
      </c>
    </row>
    <row r="47" spans="1:39" s="46" customFormat="1">
      <c r="B47" s="47" t="s">
        <v>225</v>
      </c>
      <c r="C47" s="48">
        <v>9</v>
      </c>
      <c r="D47" s="48">
        <v>1</v>
      </c>
      <c r="E47" s="48" t="s">
        <v>226</v>
      </c>
      <c r="F47" s="48">
        <v>2013</v>
      </c>
      <c r="G47" s="48" t="s">
        <v>249</v>
      </c>
      <c r="H47" s="48">
        <v>2010</v>
      </c>
      <c r="I47" s="49" t="s">
        <v>49</v>
      </c>
      <c r="J47" s="48" t="s">
        <v>58</v>
      </c>
      <c r="K47" s="48" t="s">
        <v>250</v>
      </c>
      <c r="L47" s="48"/>
      <c r="M47" s="48"/>
      <c r="N47" s="48" t="s">
        <v>52</v>
      </c>
      <c r="O47" s="48" t="s">
        <v>251</v>
      </c>
      <c r="P47" s="48">
        <v>15</v>
      </c>
      <c r="Q47" s="48">
        <v>790</v>
      </c>
      <c r="R47" s="48" t="s">
        <v>252</v>
      </c>
      <c r="S47" s="46" t="s">
        <v>253</v>
      </c>
      <c r="T47" s="46" t="s">
        <v>254</v>
      </c>
      <c r="U47" s="48">
        <v>61</v>
      </c>
      <c r="V47" s="48">
        <v>36</v>
      </c>
      <c r="W47" s="48" t="s">
        <v>255</v>
      </c>
      <c r="X47" s="48" t="s">
        <v>256</v>
      </c>
      <c r="Y47" s="48" t="s">
        <v>257</v>
      </c>
      <c r="Z47" s="48" t="s">
        <v>85</v>
      </c>
      <c r="AA47" s="48" t="s">
        <v>68</v>
      </c>
      <c r="AH47" s="48" t="s">
        <v>69</v>
      </c>
      <c r="AI47" s="48" t="s">
        <v>69</v>
      </c>
      <c r="AJ47" s="48" t="s">
        <v>69</v>
      </c>
      <c r="AK47" s="48" t="s">
        <v>69</v>
      </c>
      <c r="AL47" s="48" t="s">
        <v>69</v>
      </c>
      <c r="AM47" s="46" t="s">
        <v>214</v>
      </c>
    </row>
    <row r="48" spans="1:39" s="46" customFormat="1">
      <c r="B48" s="47" t="s">
        <v>225</v>
      </c>
      <c r="C48" s="48">
        <v>9</v>
      </c>
      <c r="D48" s="48">
        <v>2</v>
      </c>
      <c r="E48" s="48" t="s">
        <v>226</v>
      </c>
      <c r="F48" s="48">
        <v>2013</v>
      </c>
      <c r="G48" s="48" t="s">
        <v>249</v>
      </c>
      <c r="H48" s="48">
        <v>2010</v>
      </c>
      <c r="I48" s="49" t="s">
        <v>49</v>
      </c>
      <c r="J48" s="48" t="s">
        <v>58</v>
      </c>
      <c r="K48" s="48" t="s">
        <v>250</v>
      </c>
      <c r="L48" s="48"/>
      <c r="M48" s="48"/>
      <c r="N48" s="48" t="s">
        <v>52</v>
      </c>
      <c r="O48" s="48" t="s">
        <v>251</v>
      </c>
      <c r="P48" s="48">
        <v>15</v>
      </c>
      <c r="Q48" s="48">
        <v>790</v>
      </c>
      <c r="R48" s="48" t="s">
        <v>252</v>
      </c>
      <c r="S48" s="46" t="s">
        <v>253</v>
      </c>
      <c r="T48" s="46" t="s">
        <v>254</v>
      </c>
      <c r="U48" s="48">
        <v>61</v>
      </c>
      <c r="V48" s="48">
        <v>36</v>
      </c>
      <c r="W48" s="48" t="s">
        <v>258</v>
      </c>
      <c r="X48" s="48" t="s">
        <v>259</v>
      </c>
      <c r="Y48" s="48" t="s">
        <v>260</v>
      </c>
      <c r="Z48" s="48" t="s">
        <v>261</v>
      </c>
      <c r="AA48" s="48" t="s">
        <v>68</v>
      </c>
      <c r="AH48" s="48" t="s">
        <v>69</v>
      </c>
      <c r="AI48" s="48" t="s">
        <v>69</v>
      </c>
      <c r="AJ48" s="48" t="s">
        <v>69</v>
      </c>
      <c r="AK48" s="48" t="s">
        <v>69</v>
      </c>
      <c r="AL48" s="48" t="s">
        <v>69</v>
      </c>
      <c r="AM48" s="46" t="s">
        <v>262</v>
      </c>
    </row>
    <row r="49" spans="2:39" s="46" customFormat="1">
      <c r="B49" s="47" t="s">
        <v>225</v>
      </c>
      <c r="C49" s="48">
        <v>9</v>
      </c>
      <c r="D49" s="48">
        <v>3</v>
      </c>
      <c r="E49" s="48" t="s">
        <v>226</v>
      </c>
      <c r="F49" s="48">
        <v>2013</v>
      </c>
      <c r="G49" s="48" t="s">
        <v>249</v>
      </c>
      <c r="H49" s="48">
        <v>2010</v>
      </c>
      <c r="I49" s="49" t="s">
        <v>49</v>
      </c>
      <c r="J49" s="48" t="s">
        <v>58</v>
      </c>
      <c r="K49" s="48" t="s">
        <v>250</v>
      </c>
      <c r="L49" s="48"/>
      <c r="M49" s="48"/>
      <c r="N49" s="48" t="s">
        <v>52</v>
      </c>
      <c r="O49" s="48" t="s">
        <v>251</v>
      </c>
      <c r="P49" s="48">
        <v>15</v>
      </c>
      <c r="Q49" s="48">
        <v>790</v>
      </c>
      <c r="R49" s="48" t="s">
        <v>252</v>
      </c>
      <c r="S49" s="46" t="s">
        <v>253</v>
      </c>
      <c r="T49" s="46" t="s">
        <v>254</v>
      </c>
      <c r="U49" s="48">
        <v>61</v>
      </c>
      <c r="V49" s="48">
        <v>36</v>
      </c>
      <c r="W49" s="48" t="s">
        <v>263</v>
      </c>
      <c r="X49" s="48" t="s">
        <v>264</v>
      </c>
      <c r="Y49" s="48" t="s">
        <v>265</v>
      </c>
      <c r="Z49" s="48" t="s">
        <v>237</v>
      </c>
      <c r="AA49" s="48" t="s">
        <v>68</v>
      </c>
      <c r="AH49" s="48" t="s">
        <v>69</v>
      </c>
      <c r="AI49" s="48" t="s">
        <v>69</v>
      </c>
      <c r="AJ49" s="48" t="s">
        <v>69</v>
      </c>
      <c r="AK49" s="48" t="s">
        <v>69</v>
      </c>
      <c r="AL49" s="48" t="s">
        <v>69</v>
      </c>
      <c r="AM49" s="46" t="s">
        <v>266</v>
      </c>
    </row>
    <row r="50" spans="2:39" s="46" customFormat="1" ht="16.5">
      <c r="B50" s="47" t="s">
        <v>225</v>
      </c>
      <c r="C50" s="48">
        <v>10</v>
      </c>
      <c r="D50" s="48">
        <v>1</v>
      </c>
      <c r="E50" s="48" t="s">
        <v>267</v>
      </c>
      <c r="F50" s="48">
        <v>2016</v>
      </c>
      <c r="G50" s="48" t="s">
        <v>268</v>
      </c>
      <c r="H50" s="48"/>
      <c r="I50" s="49" t="s">
        <v>49</v>
      </c>
      <c r="J50" s="48" t="s">
        <v>50</v>
      </c>
      <c r="K50" s="50" t="s">
        <v>269</v>
      </c>
      <c r="L50" s="50" t="s">
        <v>270</v>
      </c>
      <c r="M50" s="48" t="s">
        <v>271</v>
      </c>
      <c r="N50" s="48" t="s">
        <v>52</v>
      </c>
      <c r="O50" s="48" t="s">
        <v>272</v>
      </c>
      <c r="P50" s="48" t="s">
        <v>273</v>
      </c>
      <c r="Q50" s="48"/>
      <c r="R50" s="48" t="s">
        <v>274</v>
      </c>
      <c r="T50" s="46" t="s">
        <v>275</v>
      </c>
      <c r="U50" s="48">
        <v>30</v>
      </c>
      <c r="V50" s="48">
        <v>11</v>
      </c>
      <c r="W50" s="48" t="s">
        <v>66</v>
      </c>
      <c r="X50" s="48"/>
      <c r="Y50" s="48" t="s">
        <v>276</v>
      </c>
      <c r="Z50" s="48"/>
      <c r="AA50" s="48"/>
      <c r="AH50" s="48"/>
      <c r="AI50" s="48" t="s">
        <v>69</v>
      </c>
      <c r="AJ50" s="48" t="s">
        <v>69</v>
      </c>
      <c r="AK50" s="48" t="s">
        <v>69</v>
      </c>
      <c r="AL50" s="48" t="s">
        <v>69</v>
      </c>
      <c r="AM50" s="46" t="s">
        <v>214</v>
      </c>
    </row>
    <row r="51" spans="2:39" s="46" customFormat="1" ht="16.5">
      <c r="B51" s="47" t="s">
        <v>225</v>
      </c>
      <c r="C51" s="48">
        <v>10</v>
      </c>
      <c r="D51" s="48">
        <v>2</v>
      </c>
      <c r="E51" s="48" t="s">
        <v>267</v>
      </c>
      <c r="F51" s="48">
        <v>2016</v>
      </c>
      <c r="G51" s="48" t="s">
        <v>268</v>
      </c>
      <c r="H51" s="48"/>
      <c r="I51" s="49" t="s">
        <v>49</v>
      </c>
      <c r="J51" s="48" t="s">
        <v>50</v>
      </c>
      <c r="K51" s="50" t="s">
        <v>269</v>
      </c>
      <c r="L51" s="50" t="s">
        <v>270</v>
      </c>
      <c r="M51" s="48" t="s">
        <v>271</v>
      </c>
      <c r="N51" s="48" t="s">
        <v>52</v>
      </c>
      <c r="O51" s="48" t="s">
        <v>272</v>
      </c>
      <c r="P51" s="48" t="s">
        <v>273</v>
      </c>
      <c r="Q51" s="48"/>
      <c r="R51" s="48" t="s">
        <v>274</v>
      </c>
      <c r="T51" s="46" t="s">
        <v>275</v>
      </c>
      <c r="U51" s="48">
        <v>30</v>
      </c>
      <c r="V51" s="48">
        <v>11</v>
      </c>
      <c r="W51" s="48" t="s">
        <v>277</v>
      </c>
      <c r="X51" s="48"/>
      <c r="Y51" s="48" t="s">
        <v>278</v>
      </c>
      <c r="Z51" s="48"/>
      <c r="AA51" s="48"/>
      <c r="AH51" s="48"/>
      <c r="AI51" s="48" t="s">
        <v>69</v>
      </c>
      <c r="AJ51" s="48" t="s">
        <v>69</v>
      </c>
      <c r="AK51" s="48" t="s">
        <v>69</v>
      </c>
      <c r="AL51" s="48" t="s">
        <v>69</v>
      </c>
      <c r="AM51" s="46" t="s">
        <v>279</v>
      </c>
    </row>
    <row r="52" spans="2:39" s="46" customFormat="1" ht="16.5">
      <c r="B52" s="47" t="s">
        <v>225</v>
      </c>
      <c r="C52" s="48">
        <v>10</v>
      </c>
      <c r="D52" s="48">
        <v>3</v>
      </c>
      <c r="E52" s="48" t="s">
        <v>267</v>
      </c>
      <c r="F52" s="48">
        <v>2016</v>
      </c>
      <c r="G52" s="48" t="s">
        <v>268</v>
      </c>
      <c r="H52" s="48"/>
      <c r="I52" s="49" t="s">
        <v>49</v>
      </c>
      <c r="J52" s="48" t="s">
        <v>50</v>
      </c>
      <c r="K52" s="50" t="s">
        <v>269</v>
      </c>
      <c r="L52" s="50" t="s">
        <v>270</v>
      </c>
      <c r="M52" s="48" t="s">
        <v>271</v>
      </c>
      <c r="N52" s="48" t="s">
        <v>52</v>
      </c>
      <c r="O52" s="48" t="s">
        <v>272</v>
      </c>
      <c r="P52" s="48" t="s">
        <v>273</v>
      </c>
      <c r="Q52" s="48"/>
      <c r="R52" s="48" t="s">
        <v>274</v>
      </c>
      <c r="T52" s="46" t="s">
        <v>275</v>
      </c>
      <c r="U52" s="48">
        <v>30</v>
      </c>
      <c r="V52" s="48">
        <v>11</v>
      </c>
      <c r="W52" s="48" t="s">
        <v>280</v>
      </c>
      <c r="X52" s="48"/>
      <c r="Y52" s="48" t="s">
        <v>281</v>
      </c>
      <c r="Z52" s="48"/>
      <c r="AA52" s="48"/>
      <c r="AH52" s="48"/>
      <c r="AI52" s="48" t="s">
        <v>69</v>
      </c>
      <c r="AJ52" s="48" t="s">
        <v>69</v>
      </c>
      <c r="AK52" s="48" t="s">
        <v>69</v>
      </c>
      <c r="AL52" s="48" t="s">
        <v>69</v>
      </c>
      <c r="AM52" s="46" t="s">
        <v>282</v>
      </c>
    </row>
    <row r="53" spans="2:39" s="46" customFormat="1" ht="16.5">
      <c r="B53" s="47" t="s">
        <v>225</v>
      </c>
      <c r="C53" s="48">
        <v>10</v>
      </c>
      <c r="D53" s="48">
        <v>4</v>
      </c>
      <c r="E53" s="48" t="s">
        <v>267</v>
      </c>
      <c r="F53" s="48">
        <v>2016</v>
      </c>
      <c r="G53" s="48" t="s">
        <v>268</v>
      </c>
      <c r="H53" s="48"/>
      <c r="I53" s="49" t="s">
        <v>49</v>
      </c>
      <c r="J53" s="48" t="s">
        <v>50</v>
      </c>
      <c r="K53" s="50" t="s">
        <v>269</v>
      </c>
      <c r="L53" s="50" t="s">
        <v>270</v>
      </c>
      <c r="M53" s="48" t="s">
        <v>271</v>
      </c>
      <c r="N53" s="48" t="s">
        <v>52</v>
      </c>
      <c r="O53" s="48" t="s">
        <v>272</v>
      </c>
      <c r="P53" s="48" t="s">
        <v>273</v>
      </c>
      <c r="Q53" s="48"/>
      <c r="R53" s="48" t="s">
        <v>274</v>
      </c>
      <c r="T53" s="46" t="s">
        <v>275</v>
      </c>
      <c r="U53" s="48">
        <v>30</v>
      </c>
      <c r="V53" s="48">
        <v>11</v>
      </c>
      <c r="W53" s="48" t="s">
        <v>283</v>
      </c>
      <c r="X53" s="48"/>
      <c r="Y53" s="48" t="s">
        <v>284</v>
      </c>
      <c r="Z53" s="48"/>
      <c r="AA53" s="48"/>
      <c r="AH53" s="48"/>
      <c r="AI53" s="48" t="s">
        <v>69</v>
      </c>
      <c r="AJ53" s="48" t="s">
        <v>69</v>
      </c>
      <c r="AK53" s="48" t="s">
        <v>69</v>
      </c>
      <c r="AL53" s="48" t="s">
        <v>69</v>
      </c>
      <c r="AM53" s="46" t="s">
        <v>285</v>
      </c>
    </row>
    <row r="54" spans="2:39">
      <c r="B54" s="8" t="s">
        <v>286</v>
      </c>
      <c r="C54" s="7">
        <v>11</v>
      </c>
      <c r="D54" s="7">
        <v>1</v>
      </c>
      <c r="E54" s="7" t="s">
        <v>287</v>
      </c>
      <c r="F54" s="7">
        <v>2018</v>
      </c>
      <c r="G54" s="7" t="s">
        <v>57</v>
      </c>
      <c r="H54" s="7">
        <v>2016</v>
      </c>
      <c r="I54" s="13" t="s">
        <v>49</v>
      </c>
      <c r="J54" s="7" t="s">
        <v>50</v>
      </c>
      <c r="K54" s="7" t="s">
        <v>288</v>
      </c>
      <c r="N54" s="7" t="s">
        <v>101</v>
      </c>
      <c r="O54" s="7" t="s">
        <v>289</v>
      </c>
      <c r="P54" s="7">
        <v>12</v>
      </c>
      <c r="Q54" s="7">
        <v>726</v>
      </c>
      <c r="S54" s="7" t="s">
        <v>290</v>
      </c>
      <c r="T54" s="7" t="s">
        <v>291</v>
      </c>
      <c r="U54" s="7">
        <v>55</v>
      </c>
      <c r="V54" s="7">
        <v>10</v>
      </c>
      <c r="W54" s="7" t="s">
        <v>292</v>
      </c>
      <c r="X54" s="7"/>
      <c r="Y54" s="7" t="s">
        <v>293</v>
      </c>
      <c r="Z54" s="7"/>
      <c r="AH54" s="7" t="s">
        <v>294</v>
      </c>
      <c r="AJ54" s="7" t="s">
        <v>69</v>
      </c>
      <c r="AK54" s="7" t="s">
        <v>69</v>
      </c>
      <c r="AL54" s="7" t="s">
        <v>69</v>
      </c>
      <c r="AM54" t="s">
        <v>291</v>
      </c>
    </row>
    <row r="55" spans="2:39">
      <c r="B55" s="8" t="s">
        <v>286</v>
      </c>
      <c r="C55" s="7">
        <v>11</v>
      </c>
      <c r="D55" s="7">
        <v>2</v>
      </c>
      <c r="E55" s="7" t="s">
        <v>287</v>
      </c>
      <c r="F55" s="7">
        <v>2018</v>
      </c>
      <c r="G55" s="7" t="s">
        <v>57</v>
      </c>
      <c r="H55" s="7">
        <v>2016</v>
      </c>
      <c r="I55" s="13" t="s">
        <v>49</v>
      </c>
      <c r="J55" s="7" t="s">
        <v>50</v>
      </c>
      <c r="K55" s="7" t="s">
        <v>295</v>
      </c>
      <c r="N55" s="7" t="s">
        <v>101</v>
      </c>
      <c r="O55" s="7" t="s">
        <v>289</v>
      </c>
      <c r="P55" s="7">
        <v>12</v>
      </c>
      <c r="Q55" s="7">
        <v>726</v>
      </c>
      <c r="S55" s="7" t="s">
        <v>290</v>
      </c>
      <c r="T55" s="7" t="s">
        <v>296</v>
      </c>
      <c r="U55" s="7">
        <v>55</v>
      </c>
      <c r="V55" s="7">
        <v>10</v>
      </c>
      <c r="W55" s="7" t="s">
        <v>292</v>
      </c>
      <c r="X55" s="7"/>
      <c r="Y55" s="7" t="s">
        <v>297</v>
      </c>
      <c r="Z55" s="7"/>
      <c r="AH55" s="7" t="s">
        <v>294</v>
      </c>
      <c r="AJ55" s="7" t="s">
        <v>69</v>
      </c>
      <c r="AK55" s="7" t="s">
        <v>69</v>
      </c>
      <c r="AL55" s="7" t="s">
        <v>69</v>
      </c>
      <c r="AM55" t="s">
        <v>298</v>
      </c>
    </row>
    <row r="56" spans="2:39">
      <c r="B56" s="8" t="s">
        <v>286</v>
      </c>
      <c r="C56" s="7">
        <v>11</v>
      </c>
      <c r="D56" s="7">
        <v>3</v>
      </c>
      <c r="E56" s="7" t="s">
        <v>287</v>
      </c>
      <c r="F56" s="7">
        <v>2018</v>
      </c>
      <c r="G56" s="7" t="s">
        <v>57</v>
      </c>
      <c r="H56" s="7">
        <v>2016</v>
      </c>
      <c r="I56" s="13" t="s">
        <v>49</v>
      </c>
      <c r="J56" s="7" t="s">
        <v>50</v>
      </c>
      <c r="K56" s="7" t="s">
        <v>295</v>
      </c>
      <c r="N56" s="7" t="s">
        <v>101</v>
      </c>
      <c r="O56" s="7" t="s">
        <v>289</v>
      </c>
      <c r="P56" s="7">
        <v>12</v>
      </c>
      <c r="Q56" s="7">
        <v>726</v>
      </c>
      <c r="S56" s="7" t="s">
        <v>290</v>
      </c>
      <c r="T56" s="7" t="s">
        <v>299</v>
      </c>
      <c r="U56" s="7">
        <v>55</v>
      </c>
      <c r="V56" s="7">
        <v>10</v>
      </c>
      <c r="W56" s="7" t="s">
        <v>292</v>
      </c>
      <c r="X56" s="7"/>
      <c r="Y56" s="7" t="s">
        <v>300</v>
      </c>
      <c r="Z56" s="7"/>
      <c r="AH56" s="7" t="s">
        <v>294</v>
      </c>
      <c r="AJ56" s="7" t="s">
        <v>69</v>
      </c>
      <c r="AK56" s="7" t="s">
        <v>69</v>
      </c>
      <c r="AL56" s="7" t="s">
        <v>69</v>
      </c>
      <c r="AM56" t="s">
        <v>298</v>
      </c>
    </row>
    <row r="57" spans="2:39">
      <c r="B57" s="8" t="s">
        <v>286</v>
      </c>
      <c r="C57" s="7">
        <v>12</v>
      </c>
      <c r="D57" s="7">
        <v>1</v>
      </c>
      <c r="E57" s="7" t="s">
        <v>301</v>
      </c>
      <c r="F57" s="7">
        <v>2022</v>
      </c>
      <c r="G57" s="7" t="s">
        <v>302</v>
      </c>
      <c r="H57" s="7">
        <v>2020</v>
      </c>
      <c r="I57" s="13" t="s">
        <v>49</v>
      </c>
      <c r="J57" s="7" t="s">
        <v>50</v>
      </c>
      <c r="K57" s="7" t="s">
        <v>303</v>
      </c>
      <c r="L57" s="7" t="s">
        <v>304</v>
      </c>
      <c r="M57" s="7" t="s">
        <v>305</v>
      </c>
      <c r="N57" s="7" t="s">
        <v>101</v>
      </c>
      <c r="O57" s="7" t="s">
        <v>306</v>
      </c>
      <c r="P57" s="7" t="s">
        <v>307</v>
      </c>
      <c r="Q57" s="7">
        <v>750</v>
      </c>
      <c r="S57" s="7" t="s">
        <v>308</v>
      </c>
      <c r="T57" s="16" t="s">
        <v>214</v>
      </c>
      <c r="U57" s="7"/>
      <c r="V57" s="7"/>
      <c r="W57" s="7"/>
      <c r="X57" s="7">
        <v>82.78</v>
      </c>
      <c r="Y57" s="7"/>
      <c r="AA57" s="7" t="s">
        <v>68</v>
      </c>
    </row>
    <row r="58" spans="2:39">
      <c r="B58" s="8" t="s">
        <v>286</v>
      </c>
      <c r="C58" s="7">
        <v>12</v>
      </c>
      <c r="D58" s="7">
        <v>2</v>
      </c>
      <c r="E58" s="7" t="s">
        <v>301</v>
      </c>
      <c r="F58" s="7">
        <v>2022</v>
      </c>
      <c r="G58" s="7" t="s">
        <v>302</v>
      </c>
      <c r="H58" s="7">
        <v>2020</v>
      </c>
      <c r="I58" s="13" t="s">
        <v>49</v>
      </c>
      <c r="J58" s="7" t="s">
        <v>50</v>
      </c>
      <c r="K58" s="7" t="s">
        <v>303</v>
      </c>
      <c r="L58" s="7" t="s">
        <v>304</v>
      </c>
      <c r="M58" s="7" t="s">
        <v>305</v>
      </c>
      <c r="N58" s="7" t="s">
        <v>101</v>
      </c>
      <c r="O58" s="7" t="s">
        <v>306</v>
      </c>
      <c r="P58" s="7" t="s">
        <v>307</v>
      </c>
      <c r="Q58" s="7">
        <v>750</v>
      </c>
      <c r="S58" s="7" t="s">
        <v>308</v>
      </c>
      <c r="T58" s="16" t="s">
        <v>309</v>
      </c>
      <c r="U58" s="7"/>
      <c r="V58" s="7"/>
      <c r="W58" s="7"/>
      <c r="X58" s="7">
        <v>75.86</v>
      </c>
      <c r="Y58" s="7"/>
      <c r="Z58" s="7">
        <f>(X58-X57)/30</f>
        <v>-0.23066666666666671</v>
      </c>
      <c r="AA58" s="7" t="s">
        <v>68</v>
      </c>
    </row>
    <row r="59" spans="2:39">
      <c r="B59" s="8" t="s">
        <v>286</v>
      </c>
      <c r="C59" s="7">
        <v>12</v>
      </c>
      <c r="D59" s="7">
        <v>3</v>
      </c>
      <c r="E59" s="7" t="s">
        <v>301</v>
      </c>
      <c r="F59" s="7">
        <v>2022</v>
      </c>
      <c r="G59" s="7" t="s">
        <v>302</v>
      </c>
      <c r="H59" s="7">
        <v>2020</v>
      </c>
      <c r="I59" s="13" t="s">
        <v>49</v>
      </c>
      <c r="J59" s="7" t="s">
        <v>50</v>
      </c>
      <c r="K59" s="7" t="s">
        <v>303</v>
      </c>
      <c r="L59" s="7" t="s">
        <v>304</v>
      </c>
      <c r="M59" s="7" t="s">
        <v>305</v>
      </c>
      <c r="N59" s="7" t="s">
        <v>101</v>
      </c>
      <c r="O59" s="7" t="s">
        <v>306</v>
      </c>
      <c r="P59" s="7" t="s">
        <v>307</v>
      </c>
      <c r="Q59" s="7">
        <v>750</v>
      </c>
      <c r="S59" s="7" t="s">
        <v>308</v>
      </c>
      <c r="T59" s="16" t="s">
        <v>310</v>
      </c>
      <c r="U59" s="7"/>
      <c r="V59" s="7"/>
      <c r="W59" s="7"/>
      <c r="X59" s="7">
        <v>75.709999999999994</v>
      </c>
      <c r="Y59" s="7"/>
      <c r="Z59" s="7">
        <f>(X59-X57)/30</f>
        <v>-0.23566666666666691</v>
      </c>
      <c r="AA59" s="7" t="s">
        <v>68</v>
      </c>
    </row>
    <row r="60" spans="2:39">
      <c r="B60" s="8" t="s">
        <v>286</v>
      </c>
      <c r="C60" s="7">
        <v>13</v>
      </c>
      <c r="D60" s="7">
        <v>1</v>
      </c>
      <c r="E60" s="7" t="s">
        <v>47</v>
      </c>
      <c r="F60" s="7" t="s">
        <v>48</v>
      </c>
      <c r="H60" s="7">
        <v>2021</v>
      </c>
      <c r="I60" s="13" t="s">
        <v>49</v>
      </c>
      <c r="J60" s="7" t="s">
        <v>50</v>
      </c>
      <c r="T60" s="16"/>
      <c r="U60" s="7"/>
      <c r="V60" s="7"/>
      <c r="W60" s="7"/>
      <c r="X60" s="7"/>
      <c r="Y60" s="7"/>
      <c r="Z60" s="7"/>
    </row>
    <row r="61" spans="2:39">
      <c r="B61" s="8" t="s">
        <v>286</v>
      </c>
      <c r="C61" s="7">
        <v>13</v>
      </c>
      <c r="D61" s="7">
        <v>2</v>
      </c>
      <c r="E61" s="7" t="s">
        <v>47</v>
      </c>
      <c r="F61" s="7" t="s">
        <v>48</v>
      </c>
      <c r="H61" s="7">
        <v>2021</v>
      </c>
      <c r="I61" s="13" t="s">
        <v>49</v>
      </c>
      <c r="J61" s="7" t="s">
        <v>50</v>
      </c>
      <c r="T61" s="16"/>
      <c r="U61" s="7"/>
      <c r="V61" s="7"/>
      <c r="W61" s="7"/>
      <c r="X61" s="7"/>
      <c r="Y61" s="7"/>
      <c r="Z61" s="7"/>
    </row>
    <row r="62" spans="2:39" s="28" customFormat="1">
      <c r="B62" s="28" t="s">
        <v>311</v>
      </c>
      <c r="C62" s="29">
        <v>14</v>
      </c>
      <c r="D62" s="29">
        <v>1</v>
      </c>
      <c r="E62" s="29" t="s">
        <v>312</v>
      </c>
      <c r="F62" s="29">
        <v>2008</v>
      </c>
      <c r="G62" s="29" t="s">
        <v>313</v>
      </c>
      <c r="H62" s="30"/>
      <c r="I62" s="29" t="s">
        <v>49</v>
      </c>
      <c r="J62" s="29" t="s">
        <v>58</v>
      </c>
      <c r="K62" s="31" t="s">
        <v>314</v>
      </c>
      <c r="L62" s="31" t="s">
        <v>315</v>
      </c>
      <c r="M62" s="31" t="s">
        <v>316</v>
      </c>
      <c r="N62" s="30" t="s">
        <v>52</v>
      </c>
      <c r="O62" s="31" t="s">
        <v>317</v>
      </c>
      <c r="P62" s="30"/>
      <c r="Q62" s="30"/>
      <c r="R62" s="29" t="s">
        <v>318</v>
      </c>
      <c r="S62" s="30"/>
      <c r="T62" s="31" t="s">
        <v>214</v>
      </c>
      <c r="U62" s="29" t="s">
        <v>319</v>
      </c>
      <c r="V62" s="29" t="s">
        <v>320</v>
      </c>
      <c r="W62" s="30"/>
      <c r="AA62" s="30"/>
      <c r="AH62" s="30"/>
      <c r="AI62" s="30"/>
      <c r="AJ62" s="30"/>
      <c r="AK62" s="30"/>
      <c r="AL62" s="30"/>
      <c r="AM62" s="31" t="s">
        <v>291</v>
      </c>
    </row>
    <row r="63" spans="2:39" s="28" customFormat="1">
      <c r="B63" s="28" t="s">
        <v>311</v>
      </c>
      <c r="C63" s="29">
        <v>14</v>
      </c>
      <c r="D63" s="29">
        <v>2</v>
      </c>
      <c r="E63" s="29" t="s">
        <v>312</v>
      </c>
      <c r="F63" s="29">
        <v>2008</v>
      </c>
      <c r="G63" s="29" t="s">
        <v>321</v>
      </c>
      <c r="H63" s="30"/>
      <c r="I63" s="29" t="s">
        <v>49</v>
      </c>
      <c r="J63" s="29" t="s">
        <v>58</v>
      </c>
      <c r="K63" s="31" t="s">
        <v>314</v>
      </c>
      <c r="L63" s="31" t="s">
        <v>315</v>
      </c>
      <c r="M63" s="31" t="s">
        <v>316</v>
      </c>
      <c r="N63" s="30" t="s">
        <v>52</v>
      </c>
      <c r="O63" s="31" t="s">
        <v>317</v>
      </c>
      <c r="P63" s="30"/>
      <c r="Q63" s="30"/>
      <c r="R63" s="29" t="s">
        <v>318</v>
      </c>
      <c r="S63" s="30"/>
      <c r="T63" s="31" t="s">
        <v>322</v>
      </c>
      <c r="U63" s="29" t="s">
        <v>319</v>
      </c>
      <c r="V63" s="29" t="s">
        <v>320</v>
      </c>
      <c r="W63" s="29">
        <v>82.74</v>
      </c>
      <c r="AA63" s="30"/>
      <c r="AH63" s="30"/>
      <c r="AI63" s="30"/>
      <c r="AJ63" s="30"/>
      <c r="AK63" s="30"/>
      <c r="AL63" s="30"/>
      <c r="AM63" s="31" t="s">
        <v>323</v>
      </c>
    </row>
    <row r="64" spans="2:39" s="28" customFormat="1">
      <c r="B64" s="28" t="s">
        <v>311</v>
      </c>
      <c r="C64" s="29">
        <v>14</v>
      </c>
      <c r="D64" s="29">
        <v>3</v>
      </c>
      <c r="E64" s="29" t="s">
        <v>312</v>
      </c>
      <c r="F64" s="29">
        <v>2008</v>
      </c>
      <c r="G64" s="29" t="s">
        <v>324</v>
      </c>
      <c r="H64" s="30"/>
      <c r="I64" s="29" t="s">
        <v>49</v>
      </c>
      <c r="J64" s="29" t="s">
        <v>58</v>
      </c>
      <c r="K64" s="31" t="s">
        <v>314</v>
      </c>
      <c r="L64" s="31" t="s">
        <v>315</v>
      </c>
      <c r="M64" s="31" t="s">
        <v>316</v>
      </c>
      <c r="N64" s="30" t="s">
        <v>52</v>
      </c>
      <c r="O64" s="31" t="s">
        <v>317</v>
      </c>
      <c r="P64" s="30"/>
      <c r="Q64" s="30"/>
      <c r="R64" s="29" t="s">
        <v>318</v>
      </c>
      <c r="S64" s="30"/>
      <c r="T64" s="31" t="s">
        <v>309</v>
      </c>
      <c r="U64" s="29" t="s">
        <v>319</v>
      </c>
      <c r="V64" s="29" t="s">
        <v>320</v>
      </c>
      <c r="W64" s="29">
        <v>69.91</v>
      </c>
      <c r="AA64" s="30"/>
      <c r="AH64" s="30"/>
      <c r="AI64" s="30"/>
      <c r="AJ64" s="30"/>
      <c r="AK64" s="30"/>
      <c r="AL64" s="30"/>
      <c r="AM64" s="31" t="s">
        <v>325</v>
      </c>
    </row>
    <row r="65" spans="1:39" s="28" customFormat="1">
      <c r="B65" s="28" t="s">
        <v>311</v>
      </c>
      <c r="C65" s="29">
        <v>14</v>
      </c>
      <c r="D65" s="29">
        <v>4</v>
      </c>
      <c r="E65" s="29" t="s">
        <v>312</v>
      </c>
      <c r="F65" s="29">
        <v>2008</v>
      </c>
      <c r="G65" s="29" t="s">
        <v>326</v>
      </c>
      <c r="H65" s="30"/>
      <c r="I65" s="29" t="s">
        <v>49</v>
      </c>
      <c r="J65" s="29" t="s">
        <v>58</v>
      </c>
      <c r="K65" s="31" t="s">
        <v>314</v>
      </c>
      <c r="L65" s="31" t="s">
        <v>315</v>
      </c>
      <c r="M65" s="31" t="s">
        <v>316</v>
      </c>
      <c r="N65" s="30" t="s">
        <v>52</v>
      </c>
      <c r="O65" s="31" t="s">
        <v>317</v>
      </c>
      <c r="P65" s="30"/>
      <c r="Q65" s="30"/>
      <c r="R65" s="29" t="s">
        <v>318</v>
      </c>
      <c r="S65" s="30"/>
      <c r="T65" s="31" t="s">
        <v>310</v>
      </c>
      <c r="U65" s="29" t="s">
        <v>319</v>
      </c>
      <c r="V65" s="29" t="s">
        <v>320</v>
      </c>
      <c r="W65" s="29">
        <v>61</v>
      </c>
      <c r="AA65" s="30"/>
      <c r="AH65" s="30"/>
      <c r="AI65" s="30"/>
      <c r="AJ65" s="30"/>
      <c r="AK65" s="30"/>
      <c r="AL65" s="30"/>
      <c r="AM65" s="31" t="s">
        <v>327</v>
      </c>
    </row>
    <row r="66" spans="1:39" s="28" customFormat="1">
      <c r="B66" s="28" t="s">
        <v>311</v>
      </c>
      <c r="C66" s="29">
        <v>15</v>
      </c>
      <c r="D66" s="29">
        <v>1</v>
      </c>
      <c r="E66" s="29" t="s">
        <v>328</v>
      </c>
      <c r="F66" s="29">
        <v>2014</v>
      </c>
      <c r="G66" s="29" t="s">
        <v>329</v>
      </c>
      <c r="H66" s="30"/>
      <c r="I66" s="31" t="s">
        <v>49</v>
      </c>
      <c r="J66" s="31" t="s">
        <v>58</v>
      </c>
      <c r="K66" s="31" t="s">
        <v>330</v>
      </c>
      <c r="L66" s="29" t="s">
        <v>331</v>
      </c>
      <c r="M66" s="29"/>
      <c r="N66" s="29" t="s">
        <v>332</v>
      </c>
      <c r="O66" s="32" t="s">
        <v>333</v>
      </c>
      <c r="P66" s="29" t="s">
        <v>334</v>
      </c>
      <c r="Q66" s="29" t="s">
        <v>335</v>
      </c>
      <c r="R66" s="29">
        <v>595</v>
      </c>
      <c r="S66" s="31">
        <v>18</v>
      </c>
      <c r="T66" s="31" t="s">
        <v>214</v>
      </c>
      <c r="U66" s="29"/>
      <c r="V66" s="31" t="s">
        <v>336</v>
      </c>
      <c r="W66" s="29"/>
      <c r="AA66" s="30"/>
      <c r="AH66" s="30"/>
      <c r="AI66" s="30"/>
      <c r="AJ66" s="30"/>
      <c r="AK66" s="30"/>
      <c r="AL66" s="30"/>
      <c r="AM66" s="31"/>
    </row>
    <row r="67" spans="1:39" s="28" customFormat="1">
      <c r="B67" s="28" t="s">
        <v>311</v>
      </c>
      <c r="C67" s="29">
        <v>15</v>
      </c>
      <c r="D67" s="29">
        <v>2</v>
      </c>
      <c r="E67" s="29" t="s">
        <v>328</v>
      </c>
      <c r="F67" s="29">
        <v>2014</v>
      </c>
      <c r="G67" s="29" t="s">
        <v>329</v>
      </c>
      <c r="H67" s="30"/>
      <c r="I67" s="31" t="s">
        <v>49</v>
      </c>
      <c r="J67" s="31" t="s">
        <v>58</v>
      </c>
      <c r="K67" s="31" t="s">
        <v>330</v>
      </c>
      <c r="L67" s="29"/>
      <c r="M67" s="29"/>
      <c r="N67" s="29" t="s">
        <v>332</v>
      </c>
      <c r="O67" s="32" t="s">
        <v>333</v>
      </c>
      <c r="P67" s="29" t="s">
        <v>337</v>
      </c>
      <c r="Q67" s="29"/>
      <c r="R67" s="29">
        <v>595</v>
      </c>
      <c r="S67" s="31"/>
      <c r="T67" s="31" t="s">
        <v>338</v>
      </c>
      <c r="U67" s="29"/>
      <c r="V67" s="29"/>
      <c r="W67" s="29"/>
      <c r="AA67" s="30"/>
      <c r="AH67" s="30"/>
      <c r="AI67" s="30"/>
      <c r="AJ67" s="30"/>
      <c r="AK67" s="30"/>
      <c r="AL67" s="30"/>
      <c r="AM67" s="31"/>
    </row>
    <row r="68" spans="1:39" s="28" customFormat="1">
      <c r="B68" s="28" t="s">
        <v>311</v>
      </c>
      <c r="C68" s="29">
        <v>15</v>
      </c>
      <c r="D68" s="29">
        <v>3</v>
      </c>
      <c r="E68" s="29" t="s">
        <v>328</v>
      </c>
      <c r="F68" s="29">
        <v>2014</v>
      </c>
      <c r="G68" s="29" t="s">
        <v>329</v>
      </c>
      <c r="H68" s="30"/>
      <c r="I68" s="31" t="s">
        <v>49</v>
      </c>
      <c r="J68" s="31" t="s">
        <v>58</v>
      </c>
      <c r="K68" s="31" t="s">
        <v>330</v>
      </c>
      <c r="L68" s="29"/>
      <c r="M68" s="29"/>
      <c r="N68" s="29" t="s">
        <v>332</v>
      </c>
      <c r="O68" s="32" t="s">
        <v>333</v>
      </c>
      <c r="P68" s="29"/>
      <c r="Q68" s="29"/>
      <c r="R68" s="29">
        <v>595</v>
      </c>
      <c r="S68" s="31"/>
      <c r="T68" s="31" t="s">
        <v>338</v>
      </c>
      <c r="U68" s="29"/>
      <c r="V68" s="29"/>
      <c r="W68" s="29"/>
      <c r="AA68" s="30"/>
      <c r="AH68" s="30"/>
      <c r="AI68" s="30"/>
      <c r="AJ68" s="30"/>
      <c r="AK68" s="30"/>
      <c r="AL68" s="30"/>
      <c r="AM68" s="31"/>
    </row>
    <row r="69" spans="1:39" s="28" customFormat="1">
      <c r="B69" s="28" t="s">
        <v>311</v>
      </c>
      <c r="C69" s="29">
        <v>15</v>
      </c>
      <c r="D69" s="29">
        <v>4</v>
      </c>
      <c r="E69" s="29" t="s">
        <v>328</v>
      </c>
      <c r="F69" s="29">
        <v>2014</v>
      </c>
      <c r="G69" s="29" t="s">
        <v>329</v>
      </c>
      <c r="H69" s="30"/>
      <c r="I69" s="31" t="s">
        <v>49</v>
      </c>
      <c r="J69" s="31" t="s">
        <v>58</v>
      </c>
      <c r="K69" s="31" t="s">
        <v>330</v>
      </c>
      <c r="L69" s="29"/>
      <c r="M69" s="29"/>
      <c r="N69" s="29" t="s">
        <v>332</v>
      </c>
      <c r="O69" s="32" t="s">
        <v>333</v>
      </c>
      <c r="P69" s="29"/>
      <c r="Q69" s="29"/>
      <c r="R69" s="29">
        <v>595</v>
      </c>
      <c r="S69" s="31"/>
      <c r="T69" s="31" t="s">
        <v>339</v>
      </c>
      <c r="U69" s="29"/>
      <c r="V69" s="29"/>
      <c r="W69" s="29"/>
      <c r="AA69" s="30"/>
      <c r="AH69" s="30"/>
      <c r="AI69" s="30"/>
      <c r="AJ69" s="30"/>
      <c r="AK69" s="30"/>
      <c r="AL69" s="30"/>
      <c r="AM69" s="31"/>
    </row>
    <row r="70" spans="1:39" s="28" customFormat="1">
      <c r="B70" s="28" t="s">
        <v>311</v>
      </c>
      <c r="C70" s="29">
        <v>15</v>
      </c>
      <c r="D70" s="29">
        <v>5</v>
      </c>
      <c r="E70" s="29" t="s">
        <v>328</v>
      </c>
      <c r="F70" s="29">
        <v>2014</v>
      </c>
      <c r="G70" s="29" t="s">
        <v>329</v>
      </c>
      <c r="H70" s="30"/>
      <c r="I70" s="31" t="s">
        <v>49</v>
      </c>
      <c r="J70" s="31" t="s">
        <v>58</v>
      </c>
      <c r="K70" s="31" t="s">
        <v>330</v>
      </c>
      <c r="L70" s="29"/>
      <c r="M70" s="29"/>
      <c r="N70" s="29" t="s">
        <v>332</v>
      </c>
      <c r="O70" s="32" t="s">
        <v>333</v>
      </c>
      <c r="P70" s="29"/>
      <c r="Q70" s="29"/>
      <c r="R70" s="29">
        <v>595</v>
      </c>
      <c r="S70" s="31"/>
      <c r="T70" s="31" t="s">
        <v>340</v>
      </c>
      <c r="U70" s="29"/>
      <c r="V70" s="29"/>
      <c r="W70" s="29"/>
      <c r="AA70" s="30"/>
      <c r="AH70" s="30"/>
      <c r="AI70" s="30"/>
      <c r="AJ70" s="30"/>
      <c r="AK70" s="30"/>
      <c r="AL70" s="30"/>
      <c r="AM70" s="31"/>
    </row>
    <row r="71" spans="1:39" s="28" customFormat="1">
      <c r="B71" s="28" t="s">
        <v>311</v>
      </c>
      <c r="C71" s="29">
        <v>15</v>
      </c>
      <c r="D71" s="29">
        <v>6</v>
      </c>
      <c r="E71" s="29" t="s">
        <v>328</v>
      </c>
      <c r="F71" s="29">
        <v>2014</v>
      </c>
      <c r="G71" s="29" t="s">
        <v>329</v>
      </c>
      <c r="H71" s="30"/>
      <c r="I71" s="31" t="s">
        <v>49</v>
      </c>
      <c r="J71" s="31" t="s">
        <v>58</v>
      </c>
      <c r="K71" s="31" t="s">
        <v>330</v>
      </c>
      <c r="L71" s="29"/>
      <c r="M71" s="29"/>
      <c r="N71" s="29" t="s">
        <v>332</v>
      </c>
      <c r="O71" s="32" t="s">
        <v>333</v>
      </c>
      <c r="P71" s="29"/>
      <c r="Q71" s="29"/>
      <c r="R71" s="29">
        <v>595</v>
      </c>
      <c r="S71" s="31"/>
      <c r="T71" s="31" t="s">
        <v>341</v>
      </c>
      <c r="U71" s="29"/>
      <c r="V71" s="29"/>
      <c r="W71" s="29"/>
      <c r="AA71" s="30"/>
      <c r="AH71" s="30"/>
      <c r="AI71" s="30"/>
      <c r="AJ71" s="30"/>
      <c r="AK71" s="30"/>
      <c r="AL71" s="30"/>
      <c r="AM71" s="31"/>
    </row>
    <row r="72" spans="1:39" s="28" customFormat="1">
      <c r="B72" s="28" t="s">
        <v>311</v>
      </c>
      <c r="C72" s="29">
        <v>15</v>
      </c>
      <c r="D72" s="29">
        <v>7</v>
      </c>
      <c r="E72" s="29" t="s">
        <v>328</v>
      </c>
      <c r="F72" s="29">
        <v>2014</v>
      </c>
      <c r="G72" s="29" t="s">
        <v>329</v>
      </c>
      <c r="H72" s="30"/>
      <c r="I72" s="31" t="s">
        <v>49</v>
      </c>
      <c r="J72" s="31" t="s">
        <v>58</v>
      </c>
      <c r="K72" s="31" t="s">
        <v>342</v>
      </c>
      <c r="L72" s="29" t="s">
        <v>343</v>
      </c>
      <c r="M72" s="29"/>
      <c r="N72" s="29" t="s">
        <v>332</v>
      </c>
      <c r="O72" s="32" t="s">
        <v>333</v>
      </c>
      <c r="P72" s="29"/>
      <c r="Q72" s="29" t="s">
        <v>344</v>
      </c>
      <c r="R72" s="29">
        <v>340</v>
      </c>
      <c r="S72" s="31"/>
      <c r="T72" s="31" t="s">
        <v>214</v>
      </c>
      <c r="U72" s="29"/>
      <c r="V72" s="29"/>
      <c r="W72" s="29"/>
      <c r="AA72" s="30"/>
      <c r="AH72" s="30"/>
      <c r="AI72" s="30"/>
      <c r="AJ72" s="30"/>
      <c r="AK72" s="30"/>
      <c r="AL72" s="30"/>
      <c r="AM72" s="31"/>
    </row>
    <row r="73" spans="1:39" s="28" customFormat="1">
      <c r="B73" s="28" t="s">
        <v>311</v>
      </c>
      <c r="C73" s="29">
        <v>15</v>
      </c>
      <c r="D73" s="29">
        <v>1</v>
      </c>
      <c r="E73" s="29" t="s">
        <v>328</v>
      </c>
      <c r="F73" s="29">
        <v>2014</v>
      </c>
      <c r="G73" s="29" t="s">
        <v>329</v>
      </c>
      <c r="H73" s="30"/>
      <c r="I73" s="31" t="s">
        <v>49</v>
      </c>
      <c r="J73" s="31" t="s">
        <v>58</v>
      </c>
      <c r="K73" s="31" t="s">
        <v>342</v>
      </c>
      <c r="L73" s="29"/>
      <c r="M73" s="29"/>
      <c r="N73" s="29" t="s">
        <v>332</v>
      </c>
      <c r="O73" s="32" t="s">
        <v>333</v>
      </c>
      <c r="P73" s="29"/>
      <c r="Q73" s="29"/>
      <c r="R73" s="29">
        <v>340</v>
      </c>
      <c r="S73" s="31"/>
      <c r="T73" s="31" t="s">
        <v>338</v>
      </c>
      <c r="U73" s="29"/>
      <c r="V73" s="29"/>
      <c r="W73" s="29"/>
      <c r="AA73" s="30"/>
      <c r="AH73" s="30"/>
      <c r="AI73" s="30"/>
      <c r="AJ73" s="30"/>
      <c r="AK73" s="30"/>
      <c r="AL73" s="30"/>
      <c r="AM73" s="31"/>
    </row>
    <row r="74" spans="1:39" s="28" customFormat="1">
      <c r="B74" s="28" t="s">
        <v>311</v>
      </c>
      <c r="C74" s="29">
        <v>15</v>
      </c>
      <c r="D74" s="29">
        <v>2</v>
      </c>
      <c r="E74" s="29" t="s">
        <v>328</v>
      </c>
      <c r="F74" s="29">
        <v>2014</v>
      </c>
      <c r="G74" s="29" t="s">
        <v>329</v>
      </c>
      <c r="H74" s="30"/>
      <c r="I74" s="31" t="s">
        <v>49</v>
      </c>
      <c r="J74" s="31" t="s">
        <v>58</v>
      </c>
      <c r="K74" s="31" t="s">
        <v>342</v>
      </c>
      <c r="L74" s="29"/>
      <c r="M74" s="29"/>
      <c r="N74" s="29" t="s">
        <v>332</v>
      </c>
      <c r="O74" s="32" t="s">
        <v>333</v>
      </c>
      <c r="P74" s="29"/>
      <c r="Q74" s="29"/>
      <c r="R74" s="29">
        <v>340</v>
      </c>
      <c r="S74" s="31"/>
      <c r="T74" s="31" t="s">
        <v>338</v>
      </c>
      <c r="U74" s="29"/>
      <c r="V74" s="29"/>
      <c r="W74" s="29"/>
      <c r="AA74" s="30"/>
      <c r="AH74" s="30"/>
      <c r="AI74" s="30"/>
      <c r="AJ74" s="30"/>
      <c r="AK74" s="30"/>
      <c r="AL74" s="30"/>
      <c r="AM74" s="31"/>
    </row>
    <row r="75" spans="1:39" s="28" customFormat="1">
      <c r="B75" s="28" t="s">
        <v>311</v>
      </c>
      <c r="C75" s="29">
        <v>15</v>
      </c>
      <c r="D75" s="29">
        <v>3</v>
      </c>
      <c r="E75" s="29" t="s">
        <v>328</v>
      </c>
      <c r="F75" s="29">
        <v>2014</v>
      </c>
      <c r="G75" s="29" t="s">
        <v>329</v>
      </c>
      <c r="H75" s="30"/>
      <c r="I75" s="31" t="s">
        <v>49</v>
      </c>
      <c r="J75" s="31" t="s">
        <v>58</v>
      </c>
      <c r="K75" s="31" t="s">
        <v>342</v>
      </c>
      <c r="L75" s="29"/>
      <c r="M75" s="29"/>
      <c r="N75" s="29" t="s">
        <v>332</v>
      </c>
      <c r="O75" s="32" t="s">
        <v>333</v>
      </c>
      <c r="P75" s="29"/>
      <c r="Q75" s="29"/>
      <c r="R75" s="29">
        <v>340</v>
      </c>
      <c r="S75" s="31"/>
      <c r="T75" s="31" t="s">
        <v>339</v>
      </c>
      <c r="U75" s="29"/>
      <c r="V75" s="29"/>
      <c r="W75" s="29"/>
      <c r="AA75" s="30"/>
      <c r="AH75" s="30"/>
      <c r="AI75" s="30"/>
      <c r="AJ75" s="30"/>
      <c r="AK75" s="30"/>
      <c r="AL75" s="30"/>
      <c r="AM75" s="31"/>
    </row>
    <row r="76" spans="1:39" s="28" customFormat="1">
      <c r="B76" s="28" t="s">
        <v>311</v>
      </c>
      <c r="C76" s="29">
        <v>15</v>
      </c>
      <c r="D76" s="29">
        <v>4</v>
      </c>
      <c r="E76" s="29" t="s">
        <v>328</v>
      </c>
      <c r="F76" s="29">
        <v>2014</v>
      </c>
      <c r="G76" s="29" t="s">
        <v>329</v>
      </c>
      <c r="H76" s="30"/>
      <c r="I76" s="31" t="s">
        <v>49</v>
      </c>
      <c r="J76" s="31" t="s">
        <v>58</v>
      </c>
      <c r="K76" s="31" t="s">
        <v>342</v>
      </c>
      <c r="L76" s="29"/>
      <c r="M76" s="29"/>
      <c r="N76" s="29" t="s">
        <v>332</v>
      </c>
      <c r="O76" s="32" t="s">
        <v>333</v>
      </c>
      <c r="P76" s="29"/>
      <c r="Q76" s="29"/>
      <c r="R76" s="29">
        <v>340</v>
      </c>
      <c r="S76" s="31"/>
      <c r="T76" s="31" t="s">
        <v>340</v>
      </c>
      <c r="U76" s="29"/>
      <c r="V76" s="29"/>
      <c r="W76" s="29"/>
      <c r="AA76" s="30"/>
      <c r="AH76" s="30"/>
      <c r="AI76" s="30"/>
      <c r="AJ76" s="30"/>
      <c r="AK76" s="30"/>
      <c r="AL76" s="30"/>
      <c r="AM76" s="31"/>
    </row>
    <row r="77" spans="1:39" s="28" customFormat="1">
      <c r="B77" s="28" t="s">
        <v>311</v>
      </c>
      <c r="C77" s="29">
        <v>15</v>
      </c>
      <c r="D77" s="29">
        <v>5</v>
      </c>
      <c r="E77" s="29" t="s">
        <v>328</v>
      </c>
      <c r="F77" s="29">
        <v>2014</v>
      </c>
      <c r="G77" s="29" t="s">
        <v>329</v>
      </c>
      <c r="H77" s="30"/>
      <c r="I77" s="31" t="s">
        <v>49</v>
      </c>
      <c r="J77" s="31" t="s">
        <v>58</v>
      </c>
      <c r="K77" s="31" t="s">
        <v>342</v>
      </c>
      <c r="L77" s="29"/>
      <c r="M77" s="29"/>
      <c r="N77" s="29" t="s">
        <v>332</v>
      </c>
      <c r="O77" s="32" t="s">
        <v>333</v>
      </c>
      <c r="P77" s="29"/>
      <c r="Q77" s="29"/>
      <c r="R77" s="29">
        <v>340</v>
      </c>
      <c r="S77" s="31"/>
      <c r="T77" s="31" t="s">
        <v>341</v>
      </c>
      <c r="U77" s="29"/>
      <c r="V77" s="29"/>
      <c r="W77" s="29"/>
      <c r="AA77" s="30"/>
      <c r="AH77" s="30"/>
      <c r="AI77" s="30"/>
      <c r="AJ77" s="30"/>
      <c r="AK77" s="30"/>
      <c r="AL77" s="30"/>
      <c r="AM77" s="31"/>
    </row>
    <row r="78" spans="1:39" s="37" customFormat="1">
      <c r="A78" s="36" t="s">
        <v>345</v>
      </c>
      <c r="B78" s="37" t="s">
        <v>346</v>
      </c>
      <c r="C78" s="38">
        <v>16</v>
      </c>
      <c r="D78" s="38">
        <v>1</v>
      </c>
      <c r="E78" s="38" t="s">
        <v>347</v>
      </c>
      <c r="F78" s="38">
        <v>2018</v>
      </c>
      <c r="G78" s="38" t="s">
        <v>348</v>
      </c>
      <c r="H78" s="38"/>
      <c r="I78" s="40" t="s">
        <v>49</v>
      </c>
      <c r="J78" s="38" t="s">
        <v>136</v>
      </c>
      <c r="K78" s="38" t="s">
        <v>349</v>
      </c>
      <c r="L78" s="38" t="s">
        <v>350</v>
      </c>
      <c r="M78" s="38" t="s">
        <v>351</v>
      </c>
      <c r="N78" s="38" t="s">
        <v>101</v>
      </c>
      <c r="O78" s="38" t="s">
        <v>352</v>
      </c>
      <c r="P78" s="38" t="s">
        <v>353</v>
      </c>
      <c r="Q78" s="38">
        <v>585</v>
      </c>
      <c r="R78" s="38"/>
      <c r="S78" s="38"/>
      <c r="U78" s="37">
        <v>6</v>
      </c>
      <c r="Y78" s="37" t="s">
        <v>354</v>
      </c>
      <c r="AA78" s="38"/>
      <c r="AH78" s="38"/>
      <c r="AI78" s="38"/>
      <c r="AJ78" s="38"/>
      <c r="AK78" s="38"/>
      <c r="AL78" s="38"/>
    </row>
    <row r="79" spans="1:39">
      <c r="A79" t="s">
        <v>355</v>
      </c>
      <c r="C79" s="7">
        <v>16</v>
      </c>
      <c r="D79" s="7">
        <v>2</v>
      </c>
      <c r="E79" s="7" t="s">
        <v>347</v>
      </c>
      <c r="F79" s="7">
        <v>2018</v>
      </c>
      <c r="G79" s="7" t="s">
        <v>348</v>
      </c>
      <c r="I79" s="13" t="s">
        <v>49</v>
      </c>
      <c r="J79" s="7" t="s">
        <v>136</v>
      </c>
      <c r="K79" s="7" t="s">
        <v>349</v>
      </c>
      <c r="L79" s="7" t="s">
        <v>350</v>
      </c>
      <c r="M79" s="7" t="s">
        <v>351</v>
      </c>
      <c r="N79" s="7" t="s">
        <v>101</v>
      </c>
      <c r="O79" s="7" t="s">
        <v>352</v>
      </c>
      <c r="P79" s="7" t="s">
        <v>353</v>
      </c>
      <c r="Q79" s="7">
        <v>585</v>
      </c>
      <c r="U79">
        <v>14</v>
      </c>
      <c r="Y79" t="s">
        <v>356</v>
      </c>
    </row>
    <row r="80" spans="1:39">
      <c r="A80" s="9" t="s">
        <v>6</v>
      </c>
      <c r="B80" s="9" t="s">
        <v>7</v>
      </c>
      <c r="C80" s="10" t="s">
        <v>8</v>
      </c>
      <c r="D80" s="18" t="s">
        <v>9</v>
      </c>
      <c r="E80" s="19" t="s">
        <v>10</v>
      </c>
      <c r="F80" s="18" t="s">
        <v>11</v>
      </c>
      <c r="G80" s="18" t="s">
        <v>12</v>
      </c>
      <c r="H80" s="10" t="s">
        <v>13</v>
      </c>
      <c r="I80" s="10" t="s">
        <v>14</v>
      </c>
      <c r="J80" s="11" t="s">
        <v>15</v>
      </c>
      <c r="K80" s="11" t="s">
        <v>16</v>
      </c>
      <c r="L80" s="11" t="s">
        <v>17</v>
      </c>
      <c r="M80" s="11" t="s">
        <v>18</v>
      </c>
      <c r="N80" s="11" t="s">
        <v>19</v>
      </c>
      <c r="O80" s="11" t="s">
        <v>20</v>
      </c>
      <c r="P80" s="11" t="s">
        <v>21</v>
      </c>
      <c r="Q80" s="11" t="s">
        <v>22</v>
      </c>
      <c r="R80" s="11" t="s">
        <v>23</v>
      </c>
      <c r="S80" s="11" t="s">
        <v>24</v>
      </c>
      <c r="T80" s="4" t="s">
        <v>25</v>
      </c>
      <c r="U80" s="11" t="s">
        <v>26</v>
      </c>
      <c r="V80" s="11" t="s">
        <v>27</v>
      </c>
      <c r="W80" s="10" t="s">
        <v>28</v>
      </c>
      <c r="X80" s="10" t="s">
        <v>29</v>
      </c>
      <c r="Y80" s="4" t="s">
        <v>30</v>
      </c>
      <c r="Z80" s="5" t="s">
        <v>31</v>
      </c>
      <c r="AA80" s="6" t="s">
        <v>32</v>
      </c>
      <c r="AB80" s="6" t="s">
        <v>33</v>
      </c>
      <c r="AC80" s="6" t="s">
        <v>34</v>
      </c>
      <c r="AD80" s="6" t="s">
        <v>35</v>
      </c>
      <c r="AE80" s="6" t="s">
        <v>36</v>
      </c>
      <c r="AF80" s="6" t="s">
        <v>37</v>
      </c>
      <c r="AG80" s="5" t="s">
        <v>38</v>
      </c>
      <c r="AH80" s="6" t="s">
        <v>39</v>
      </c>
      <c r="AI80" s="6" t="s">
        <v>40</v>
      </c>
      <c r="AJ80" s="6" t="s">
        <v>41</v>
      </c>
      <c r="AK80" s="6" t="s">
        <v>42</v>
      </c>
      <c r="AL80" s="6" t="s">
        <v>43</v>
      </c>
      <c r="AM80" t="s">
        <v>44</v>
      </c>
    </row>
    <row r="81" spans="1:39" s="37" customFormat="1">
      <c r="A81" s="36" t="s">
        <v>148</v>
      </c>
      <c r="B81" s="37" t="s">
        <v>357</v>
      </c>
      <c r="C81" s="38">
        <v>17</v>
      </c>
      <c r="D81" s="38">
        <v>1</v>
      </c>
      <c r="E81" s="38" t="s">
        <v>358</v>
      </c>
      <c r="F81" s="38">
        <v>2012</v>
      </c>
      <c r="G81" s="38" t="s">
        <v>359</v>
      </c>
      <c r="H81" s="38">
        <v>2008</v>
      </c>
      <c r="I81" s="40" t="s">
        <v>49</v>
      </c>
      <c r="J81" s="38" t="s">
        <v>50</v>
      </c>
      <c r="K81" s="38" t="s">
        <v>360</v>
      </c>
      <c r="L81" s="38" t="s">
        <v>361</v>
      </c>
      <c r="M81" s="38" t="s">
        <v>362</v>
      </c>
      <c r="N81" s="38" t="s">
        <v>101</v>
      </c>
      <c r="O81" s="38" t="s">
        <v>363</v>
      </c>
      <c r="P81" s="38">
        <v>17</v>
      </c>
      <c r="Q81" s="38">
        <v>860</v>
      </c>
      <c r="R81" s="38" t="s">
        <v>364</v>
      </c>
      <c r="S81" s="38">
        <v>3</v>
      </c>
      <c r="T81" s="37" t="s">
        <v>365</v>
      </c>
      <c r="U81" s="37">
        <v>40</v>
      </c>
      <c r="X81" s="37" t="s">
        <v>366</v>
      </c>
      <c r="Z81" s="39">
        <v>0.49</v>
      </c>
      <c r="AA81" s="38" t="s">
        <v>68</v>
      </c>
      <c r="AH81" s="38" t="s">
        <v>69</v>
      </c>
      <c r="AI81" s="38" t="s">
        <v>69</v>
      </c>
      <c r="AJ81" s="38" t="s">
        <v>69</v>
      </c>
      <c r="AK81" s="38" t="s">
        <v>69</v>
      </c>
      <c r="AL81" s="38" t="s">
        <v>69</v>
      </c>
    </row>
    <row r="82" spans="1:39">
      <c r="A82" s="34"/>
      <c r="B82" s="37" t="s">
        <v>357</v>
      </c>
      <c r="C82" s="7">
        <v>18</v>
      </c>
      <c r="D82" s="7">
        <v>1</v>
      </c>
      <c r="E82" s="7" t="s">
        <v>367</v>
      </c>
      <c r="F82" s="7">
        <v>2016</v>
      </c>
      <c r="G82" s="7" t="s">
        <v>57</v>
      </c>
      <c r="H82" s="7">
        <v>2013</v>
      </c>
      <c r="I82" s="40" t="s">
        <v>49</v>
      </c>
      <c r="J82" s="7" t="s">
        <v>58</v>
      </c>
      <c r="K82" s="7" t="s">
        <v>368</v>
      </c>
      <c r="L82" s="7" t="s">
        <v>369</v>
      </c>
      <c r="M82" s="7" t="s">
        <v>370</v>
      </c>
      <c r="N82" s="7" t="s">
        <v>52</v>
      </c>
      <c r="O82" s="7" t="s">
        <v>333</v>
      </c>
      <c r="Q82" s="7">
        <v>313</v>
      </c>
      <c r="R82" s="7" t="s">
        <v>371</v>
      </c>
      <c r="U82">
        <v>18</v>
      </c>
      <c r="Z82" s="33">
        <f>(12.1-3.9)/15</f>
        <v>0.54666666666666663</v>
      </c>
      <c r="AA82" s="7" t="s">
        <v>372</v>
      </c>
    </row>
    <row r="83" spans="1:39">
      <c r="A83" s="34"/>
      <c r="B83" t="s">
        <v>373</v>
      </c>
      <c r="D83" s="7">
        <v>1</v>
      </c>
      <c r="E83" s="7" t="s">
        <v>47</v>
      </c>
      <c r="F83" s="7" t="s">
        <v>48</v>
      </c>
      <c r="H83" s="7">
        <v>2021</v>
      </c>
      <c r="I83" s="13" t="s">
        <v>49</v>
      </c>
      <c r="J83" s="7" t="s">
        <v>50</v>
      </c>
      <c r="K83" s="7" t="s">
        <v>374</v>
      </c>
      <c r="L83" s="7" t="s">
        <v>375</v>
      </c>
      <c r="M83" s="7" t="s">
        <v>376</v>
      </c>
      <c r="N83" s="7" t="s">
        <v>52</v>
      </c>
      <c r="O83" s="7" t="s">
        <v>377</v>
      </c>
      <c r="Z83" s="33"/>
    </row>
    <row r="84" spans="1:39">
      <c r="A84" s="34"/>
      <c r="B84" t="s">
        <v>373</v>
      </c>
      <c r="C84" s="7">
        <v>19</v>
      </c>
      <c r="D84" s="7">
        <v>2</v>
      </c>
      <c r="E84" s="7" t="s">
        <v>378</v>
      </c>
      <c r="F84" s="7">
        <v>2021</v>
      </c>
      <c r="G84" s="7" t="s">
        <v>379</v>
      </c>
      <c r="H84" s="7">
        <v>2020</v>
      </c>
      <c r="I84" s="13" t="s">
        <v>49</v>
      </c>
      <c r="J84" s="7" t="s">
        <v>50</v>
      </c>
      <c r="K84" s="7" t="s">
        <v>374</v>
      </c>
      <c r="L84" s="7" t="s">
        <v>375</v>
      </c>
      <c r="M84" s="7" t="s">
        <v>376</v>
      </c>
      <c r="N84" s="7" t="s">
        <v>52</v>
      </c>
      <c r="O84" s="7" t="s">
        <v>377</v>
      </c>
      <c r="U84" s="7">
        <v>35</v>
      </c>
      <c r="W84" s="35">
        <f>213*0.47</f>
        <v>100.11</v>
      </c>
      <c r="X84" s="35"/>
      <c r="Y84" s="35">
        <f>W84/U84</f>
        <v>2.8602857142857143</v>
      </c>
      <c r="Z84" s="33"/>
      <c r="AM84" t="s">
        <v>380</v>
      </c>
    </row>
    <row r="85" spans="1:39">
      <c r="A85" s="34"/>
      <c r="B85" t="s">
        <v>373</v>
      </c>
      <c r="C85" s="7">
        <v>19</v>
      </c>
      <c r="D85" s="7">
        <v>3</v>
      </c>
      <c r="E85" s="7" t="s">
        <v>378</v>
      </c>
      <c r="F85" s="7">
        <v>2021</v>
      </c>
      <c r="G85" s="7" t="s">
        <v>379</v>
      </c>
      <c r="H85" s="7">
        <v>2020</v>
      </c>
      <c r="I85" s="13" t="s">
        <v>49</v>
      </c>
      <c r="J85" s="7" t="s">
        <v>50</v>
      </c>
      <c r="K85" s="7" t="s">
        <v>374</v>
      </c>
      <c r="L85" s="7" t="s">
        <v>375</v>
      </c>
      <c r="M85" s="7" t="s">
        <v>376</v>
      </c>
      <c r="N85" s="7" t="s">
        <v>52</v>
      </c>
      <c r="O85" s="7" t="s">
        <v>377</v>
      </c>
      <c r="U85" s="7">
        <v>36</v>
      </c>
      <c r="W85" s="35">
        <f>417*0.47</f>
        <v>195.98999999999998</v>
      </c>
      <c r="X85" s="35"/>
      <c r="Y85" s="35">
        <f t="shared" ref="Y85:Y92" si="0">W85/U85</f>
        <v>5.4441666666666659</v>
      </c>
      <c r="Z85" s="33"/>
      <c r="AM85" t="s">
        <v>380</v>
      </c>
    </row>
    <row r="86" spans="1:39">
      <c r="A86" s="34"/>
      <c r="B86" t="s">
        <v>373</v>
      </c>
      <c r="C86" s="7">
        <v>19</v>
      </c>
      <c r="D86" s="7">
        <v>4</v>
      </c>
      <c r="E86" s="7" t="s">
        <v>378</v>
      </c>
      <c r="F86" s="7">
        <v>2021</v>
      </c>
      <c r="G86" s="7" t="s">
        <v>379</v>
      </c>
      <c r="H86" s="7">
        <v>2020</v>
      </c>
      <c r="I86" s="13" t="s">
        <v>49</v>
      </c>
      <c r="J86" s="7" t="s">
        <v>50</v>
      </c>
      <c r="K86" s="7" t="s">
        <v>374</v>
      </c>
      <c r="L86" s="7" t="s">
        <v>375</v>
      </c>
      <c r="M86" s="7" t="s">
        <v>376</v>
      </c>
      <c r="N86" s="7" t="s">
        <v>52</v>
      </c>
      <c r="O86" s="7" t="s">
        <v>377</v>
      </c>
      <c r="U86" s="7">
        <v>38</v>
      </c>
      <c r="W86" s="35">
        <f>303*0.47</f>
        <v>142.41</v>
      </c>
      <c r="X86" s="35"/>
      <c r="Y86" s="35">
        <f t="shared" si="0"/>
        <v>3.7476315789473684</v>
      </c>
      <c r="Z86" s="33"/>
      <c r="AM86" t="s">
        <v>380</v>
      </c>
    </row>
    <row r="87" spans="1:39">
      <c r="A87" s="34"/>
      <c r="B87" t="s">
        <v>373</v>
      </c>
      <c r="C87" s="7">
        <v>19</v>
      </c>
      <c r="D87" s="7">
        <v>5</v>
      </c>
      <c r="E87" s="7" t="s">
        <v>378</v>
      </c>
      <c r="F87" s="7">
        <v>2021</v>
      </c>
      <c r="G87" s="7" t="s">
        <v>379</v>
      </c>
      <c r="H87" s="7">
        <v>2020</v>
      </c>
      <c r="I87" s="13" t="s">
        <v>49</v>
      </c>
      <c r="J87" s="7" t="s">
        <v>50</v>
      </c>
      <c r="K87" s="7" t="s">
        <v>374</v>
      </c>
      <c r="L87" s="7" t="s">
        <v>375</v>
      </c>
      <c r="M87" s="7" t="s">
        <v>376</v>
      </c>
      <c r="N87" s="7" t="s">
        <v>52</v>
      </c>
      <c r="O87" s="7" t="s">
        <v>377</v>
      </c>
      <c r="U87" s="7">
        <v>38</v>
      </c>
      <c r="W87" s="35">
        <f>297*0.47</f>
        <v>139.59</v>
      </c>
      <c r="X87" s="35"/>
      <c r="Y87" s="35">
        <f t="shared" si="0"/>
        <v>3.6734210526315789</v>
      </c>
      <c r="Z87" s="33"/>
      <c r="AM87" t="s">
        <v>380</v>
      </c>
    </row>
    <row r="88" spans="1:39">
      <c r="A88" s="34"/>
      <c r="B88" t="s">
        <v>373</v>
      </c>
      <c r="C88" s="7">
        <v>19</v>
      </c>
      <c r="D88" s="7">
        <v>6</v>
      </c>
      <c r="E88" s="7" t="s">
        <v>378</v>
      </c>
      <c r="F88" s="7">
        <v>2021</v>
      </c>
      <c r="G88" s="7" t="s">
        <v>379</v>
      </c>
      <c r="H88" s="7">
        <v>2020</v>
      </c>
      <c r="I88" s="13" t="s">
        <v>49</v>
      </c>
      <c r="J88" s="7" t="s">
        <v>50</v>
      </c>
      <c r="K88" s="7" t="s">
        <v>374</v>
      </c>
      <c r="L88" s="7" t="s">
        <v>375</v>
      </c>
      <c r="M88" s="7" t="s">
        <v>376</v>
      </c>
      <c r="N88" s="7" t="s">
        <v>52</v>
      </c>
      <c r="O88" s="7" t="s">
        <v>377</v>
      </c>
      <c r="U88" s="7">
        <v>40</v>
      </c>
      <c r="W88" s="35">
        <f>306*0.47</f>
        <v>143.82</v>
      </c>
      <c r="X88" s="35"/>
      <c r="Y88" s="35">
        <f t="shared" si="0"/>
        <v>3.5954999999999999</v>
      </c>
      <c r="Z88" s="33"/>
      <c r="AM88" t="s">
        <v>380</v>
      </c>
    </row>
    <row r="89" spans="1:39">
      <c r="A89" s="34"/>
      <c r="B89" t="s">
        <v>373</v>
      </c>
      <c r="C89" s="7">
        <v>19</v>
      </c>
      <c r="D89" s="7">
        <v>7</v>
      </c>
      <c r="E89" s="7" t="s">
        <v>378</v>
      </c>
      <c r="F89" s="7">
        <v>2021</v>
      </c>
      <c r="G89" s="7" t="s">
        <v>379</v>
      </c>
      <c r="H89" s="7">
        <v>2020</v>
      </c>
      <c r="I89" s="13" t="s">
        <v>49</v>
      </c>
      <c r="J89" s="7" t="s">
        <v>50</v>
      </c>
      <c r="K89" s="7" t="s">
        <v>374</v>
      </c>
      <c r="L89" s="7" t="s">
        <v>375</v>
      </c>
      <c r="M89" s="7" t="s">
        <v>376</v>
      </c>
      <c r="N89" s="7" t="s">
        <v>52</v>
      </c>
      <c r="O89" s="7" t="s">
        <v>377</v>
      </c>
      <c r="U89" s="7">
        <v>21</v>
      </c>
      <c r="W89" s="35">
        <f>182*0.47</f>
        <v>85.539999999999992</v>
      </c>
      <c r="X89" s="35"/>
      <c r="Y89" s="35">
        <f t="shared" si="0"/>
        <v>4.0733333333333333</v>
      </c>
      <c r="Z89" s="33"/>
      <c r="AM89" t="s">
        <v>381</v>
      </c>
    </row>
    <row r="90" spans="1:39">
      <c r="A90" s="34"/>
      <c r="B90" t="s">
        <v>373</v>
      </c>
      <c r="C90" s="7">
        <v>19</v>
      </c>
      <c r="D90" s="7">
        <v>8</v>
      </c>
      <c r="E90" s="7" t="s">
        <v>378</v>
      </c>
      <c r="F90" s="7">
        <v>2021</v>
      </c>
      <c r="G90" s="7" t="s">
        <v>379</v>
      </c>
      <c r="H90" s="7">
        <v>2020</v>
      </c>
      <c r="I90" s="13" t="s">
        <v>49</v>
      </c>
      <c r="J90" s="7" t="s">
        <v>50</v>
      </c>
      <c r="K90" s="7" t="s">
        <v>374</v>
      </c>
      <c r="L90" s="7" t="s">
        <v>375</v>
      </c>
      <c r="M90" s="7" t="s">
        <v>376</v>
      </c>
      <c r="N90" s="7" t="s">
        <v>52</v>
      </c>
      <c r="O90" s="7" t="s">
        <v>377</v>
      </c>
      <c r="U90" s="7">
        <v>33</v>
      </c>
      <c r="W90" s="35">
        <f>148*0.47</f>
        <v>69.56</v>
      </c>
      <c r="X90" s="35"/>
      <c r="Y90" s="35">
        <f t="shared" si="0"/>
        <v>2.1078787878787879</v>
      </c>
      <c r="Z90" s="33"/>
      <c r="AM90" t="s">
        <v>381</v>
      </c>
    </row>
    <row r="91" spans="1:39">
      <c r="A91" s="34"/>
      <c r="B91" t="s">
        <v>373</v>
      </c>
      <c r="C91" s="7">
        <v>19</v>
      </c>
      <c r="D91" s="7">
        <v>9</v>
      </c>
      <c r="E91" s="7" t="s">
        <v>378</v>
      </c>
      <c r="F91" s="7">
        <v>2021</v>
      </c>
      <c r="G91" s="7" t="s">
        <v>379</v>
      </c>
      <c r="H91" s="7">
        <v>2020</v>
      </c>
      <c r="I91" s="13" t="s">
        <v>49</v>
      </c>
      <c r="J91" s="7" t="s">
        <v>50</v>
      </c>
      <c r="K91" s="7" t="s">
        <v>374</v>
      </c>
      <c r="L91" s="7" t="s">
        <v>375</v>
      </c>
      <c r="M91" s="7" t="s">
        <v>376</v>
      </c>
      <c r="N91" s="7" t="s">
        <v>52</v>
      </c>
      <c r="O91" s="7" t="s">
        <v>377</v>
      </c>
      <c r="U91" s="7">
        <v>35</v>
      </c>
      <c r="W91" s="35">
        <f>319*0.47</f>
        <v>149.92999999999998</v>
      </c>
      <c r="X91" s="35"/>
      <c r="Y91" s="35">
        <f t="shared" si="0"/>
        <v>4.2837142857142849</v>
      </c>
      <c r="Z91" s="33"/>
      <c r="AM91" t="s">
        <v>381</v>
      </c>
    </row>
    <row r="92" spans="1:39">
      <c r="A92" s="34"/>
      <c r="B92" t="s">
        <v>373</v>
      </c>
      <c r="C92" s="7">
        <v>19</v>
      </c>
      <c r="D92" s="7">
        <v>10</v>
      </c>
      <c r="E92" s="7" t="s">
        <v>378</v>
      </c>
      <c r="F92" s="7">
        <v>2021</v>
      </c>
      <c r="G92" s="7" t="s">
        <v>379</v>
      </c>
      <c r="H92" s="7">
        <v>2020</v>
      </c>
      <c r="I92" s="13" t="s">
        <v>49</v>
      </c>
      <c r="J92" s="7" t="s">
        <v>50</v>
      </c>
      <c r="K92" s="7" t="s">
        <v>374</v>
      </c>
      <c r="L92" s="7" t="s">
        <v>375</v>
      </c>
      <c r="M92" s="7" t="s">
        <v>376</v>
      </c>
      <c r="N92" s="7" t="s">
        <v>52</v>
      </c>
      <c r="O92" s="7" t="s">
        <v>377</v>
      </c>
      <c r="U92" s="7">
        <v>36</v>
      </c>
      <c r="W92" s="35">
        <f>206*0.47</f>
        <v>96.82</v>
      </c>
      <c r="X92" s="35"/>
      <c r="Y92" s="35">
        <f t="shared" si="0"/>
        <v>2.6894444444444443</v>
      </c>
      <c r="Z92" s="33"/>
      <c r="AM92" t="s">
        <v>381</v>
      </c>
    </row>
    <row r="93" spans="1:39">
      <c r="A93" s="34"/>
      <c r="B93" t="s">
        <v>373</v>
      </c>
      <c r="C93" s="7">
        <v>19</v>
      </c>
      <c r="D93" s="7">
        <v>11</v>
      </c>
      <c r="E93" s="7" t="s">
        <v>378</v>
      </c>
      <c r="F93" s="7">
        <v>2021</v>
      </c>
      <c r="G93" s="7" t="s">
        <v>379</v>
      </c>
      <c r="H93" s="7">
        <v>2020</v>
      </c>
      <c r="I93" s="13" t="s">
        <v>49</v>
      </c>
      <c r="J93" s="7" t="s">
        <v>50</v>
      </c>
      <c r="K93" s="7" t="s">
        <v>374</v>
      </c>
      <c r="L93" s="7" t="s">
        <v>375</v>
      </c>
      <c r="M93" s="7" t="s">
        <v>376</v>
      </c>
      <c r="N93" s="7" t="s">
        <v>52</v>
      </c>
      <c r="O93" s="7" t="s">
        <v>377</v>
      </c>
      <c r="U93" s="7">
        <v>40</v>
      </c>
      <c r="W93" s="35">
        <f>284*0.47</f>
        <v>133.47999999999999</v>
      </c>
      <c r="X93" s="35"/>
      <c r="Y93" s="35">
        <f>W93/U93</f>
        <v>3.3369999999999997</v>
      </c>
      <c r="Z93" s="33"/>
      <c r="AM93" t="s">
        <v>381</v>
      </c>
    </row>
    <row r="94" spans="1:39">
      <c r="A94" s="34"/>
      <c r="B94" t="s">
        <v>373</v>
      </c>
      <c r="C94" s="7">
        <v>19</v>
      </c>
      <c r="D94" s="7">
        <v>12</v>
      </c>
      <c r="E94" s="7" t="s">
        <v>378</v>
      </c>
      <c r="F94" s="7">
        <v>2021</v>
      </c>
      <c r="G94" s="7" t="s">
        <v>379</v>
      </c>
      <c r="H94" s="7">
        <v>2020</v>
      </c>
      <c r="I94" s="13" t="s">
        <v>49</v>
      </c>
      <c r="J94" s="7" t="s">
        <v>50</v>
      </c>
      <c r="K94" s="7" t="s">
        <v>374</v>
      </c>
      <c r="L94" s="7" t="s">
        <v>375</v>
      </c>
      <c r="M94" s="7" t="s">
        <v>376</v>
      </c>
      <c r="N94" s="7" t="s">
        <v>52</v>
      </c>
      <c r="O94" s="7" t="s">
        <v>377</v>
      </c>
      <c r="U94" s="7">
        <v>53</v>
      </c>
      <c r="W94" s="35">
        <f>253*0.47</f>
        <v>118.91</v>
      </c>
      <c r="X94" s="35"/>
      <c r="Y94" s="35">
        <f>W94/U94</f>
        <v>2.2435849056603772</v>
      </c>
      <c r="Z94" s="33"/>
      <c r="AM94" t="s">
        <v>380</v>
      </c>
    </row>
    <row r="95" spans="1:39">
      <c r="A95" s="34"/>
      <c r="B95" t="s">
        <v>373</v>
      </c>
      <c r="C95" s="7">
        <v>19</v>
      </c>
      <c r="D95" s="7">
        <v>13</v>
      </c>
      <c r="E95" s="7" t="s">
        <v>378</v>
      </c>
      <c r="F95" s="7">
        <v>2021</v>
      </c>
      <c r="G95" s="7" t="s">
        <v>379</v>
      </c>
      <c r="H95" s="7">
        <v>2020</v>
      </c>
      <c r="I95" s="13" t="s">
        <v>49</v>
      </c>
      <c r="J95" s="7" t="s">
        <v>50</v>
      </c>
      <c r="K95" s="7" t="s">
        <v>374</v>
      </c>
      <c r="L95" s="7" t="s">
        <v>375</v>
      </c>
      <c r="M95" s="7" t="s">
        <v>376</v>
      </c>
      <c r="N95" s="7" t="s">
        <v>52</v>
      </c>
      <c r="O95" s="7" t="s">
        <v>377</v>
      </c>
      <c r="U95" s="7">
        <v>54</v>
      </c>
      <c r="W95" s="35">
        <f>370*0.47</f>
        <v>173.89999999999998</v>
      </c>
      <c r="X95" s="35"/>
      <c r="Y95" s="35">
        <f t="shared" ref="Y95:Y103" si="1">W95/U95</f>
        <v>3.2203703703703699</v>
      </c>
      <c r="Z95" s="33"/>
      <c r="AM95" t="s">
        <v>380</v>
      </c>
    </row>
    <row r="96" spans="1:39">
      <c r="A96" s="34"/>
      <c r="B96" t="s">
        <v>373</v>
      </c>
      <c r="C96" s="7">
        <v>19</v>
      </c>
      <c r="D96" s="7">
        <v>14</v>
      </c>
      <c r="E96" s="7" t="s">
        <v>378</v>
      </c>
      <c r="F96" s="7">
        <v>2021</v>
      </c>
      <c r="G96" s="7" t="s">
        <v>379</v>
      </c>
      <c r="H96" s="7">
        <v>2020</v>
      </c>
      <c r="I96" s="13" t="s">
        <v>49</v>
      </c>
      <c r="J96" s="7" t="s">
        <v>50</v>
      </c>
      <c r="K96" s="7" t="s">
        <v>374</v>
      </c>
      <c r="L96" s="7" t="s">
        <v>375</v>
      </c>
      <c r="M96" s="7" t="s">
        <v>376</v>
      </c>
      <c r="N96" s="7" t="s">
        <v>52</v>
      </c>
      <c r="O96" s="7" t="s">
        <v>377</v>
      </c>
      <c r="U96" s="7">
        <v>56</v>
      </c>
      <c r="W96" s="35">
        <f>375*0.47</f>
        <v>176.25</v>
      </c>
      <c r="X96" s="35"/>
      <c r="Y96" s="35">
        <f t="shared" si="1"/>
        <v>3.1473214285714284</v>
      </c>
      <c r="Z96" s="33"/>
      <c r="AM96" t="s">
        <v>380</v>
      </c>
    </row>
    <row r="97" spans="1:39">
      <c r="A97" s="34"/>
      <c r="B97" t="s">
        <v>373</v>
      </c>
      <c r="C97" s="7">
        <v>19</v>
      </c>
      <c r="D97" s="7">
        <v>15</v>
      </c>
      <c r="E97" s="7" t="s">
        <v>378</v>
      </c>
      <c r="F97" s="7">
        <v>2021</v>
      </c>
      <c r="G97" s="7" t="s">
        <v>379</v>
      </c>
      <c r="H97" s="7">
        <v>2020</v>
      </c>
      <c r="I97" s="13" t="s">
        <v>49</v>
      </c>
      <c r="J97" s="7" t="s">
        <v>50</v>
      </c>
      <c r="K97" s="7" t="s">
        <v>374</v>
      </c>
      <c r="L97" s="7" t="s">
        <v>375</v>
      </c>
      <c r="M97" s="7" t="s">
        <v>376</v>
      </c>
      <c r="N97" s="7" t="s">
        <v>52</v>
      </c>
      <c r="O97" s="7" t="s">
        <v>377</v>
      </c>
      <c r="U97" s="7">
        <v>56</v>
      </c>
      <c r="W97" s="35">
        <f>303*0.47</f>
        <v>142.41</v>
      </c>
      <c r="X97" s="35"/>
      <c r="Y97" s="35">
        <f t="shared" si="1"/>
        <v>2.5430357142857143</v>
      </c>
      <c r="Z97" s="33"/>
      <c r="AM97" t="s">
        <v>380</v>
      </c>
    </row>
    <row r="98" spans="1:39">
      <c r="A98" s="34"/>
      <c r="B98" t="s">
        <v>373</v>
      </c>
      <c r="C98" s="7">
        <v>19</v>
      </c>
      <c r="D98" s="7">
        <v>16</v>
      </c>
      <c r="E98" s="7" t="s">
        <v>378</v>
      </c>
      <c r="F98" s="7">
        <v>2021</v>
      </c>
      <c r="G98" s="7" t="s">
        <v>379</v>
      </c>
      <c r="H98" s="7">
        <v>2020</v>
      </c>
      <c r="I98" s="13" t="s">
        <v>49</v>
      </c>
      <c r="J98" s="7" t="s">
        <v>50</v>
      </c>
      <c r="K98" s="7" t="s">
        <v>374</v>
      </c>
      <c r="L98" s="7" t="s">
        <v>375</v>
      </c>
      <c r="M98" s="7" t="s">
        <v>376</v>
      </c>
      <c r="N98" s="7" t="s">
        <v>52</v>
      </c>
      <c r="O98" s="7" t="s">
        <v>377</v>
      </c>
      <c r="U98" s="7">
        <v>58</v>
      </c>
      <c r="W98" s="35">
        <f>208*0.47</f>
        <v>97.759999999999991</v>
      </c>
      <c r="X98" s="35"/>
      <c r="Y98" s="35">
        <f t="shared" si="1"/>
        <v>1.6855172413793102</v>
      </c>
      <c r="Z98" s="33"/>
      <c r="AM98" t="s">
        <v>380</v>
      </c>
    </row>
    <row r="99" spans="1:39">
      <c r="A99" s="34"/>
      <c r="B99" t="s">
        <v>373</v>
      </c>
      <c r="C99" s="7">
        <v>19</v>
      </c>
      <c r="D99" s="7">
        <v>17</v>
      </c>
      <c r="E99" s="7" t="s">
        <v>378</v>
      </c>
      <c r="F99" s="7">
        <v>2021</v>
      </c>
      <c r="G99" s="7" t="s">
        <v>379</v>
      </c>
      <c r="H99" s="7">
        <v>2020</v>
      </c>
      <c r="I99" s="13" t="s">
        <v>49</v>
      </c>
      <c r="J99" s="7" t="s">
        <v>50</v>
      </c>
      <c r="K99" s="7" t="s">
        <v>374</v>
      </c>
      <c r="L99" s="7" t="s">
        <v>375</v>
      </c>
      <c r="M99" s="7" t="s">
        <v>376</v>
      </c>
      <c r="N99" s="7" t="s">
        <v>52</v>
      </c>
      <c r="O99" s="7" t="s">
        <v>377</v>
      </c>
      <c r="U99" s="7">
        <v>39</v>
      </c>
      <c r="W99" s="35">
        <f>307*0.47</f>
        <v>144.29</v>
      </c>
      <c r="X99" s="35"/>
      <c r="Y99" s="35">
        <f t="shared" si="1"/>
        <v>3.6997435897435897</v>
      </c>
      <c r="Z99" s="33"/>
      <c r="AM99" t="s">
        <v>381</v>
      </c>
    </row>
    <row r="100" spans="1:39">
      <c r="A100" s="34"/>
      <c r="B100" t="s">
        <v>373</v>
      </c>
      <c r="C100" s="7">
        <v>19</v>
      </c>
      <c r="D100" s="7">
        <v>18</v>
      </c>
      <c r="E100" s="7" t="s">
        <v>378</v>
      </c>
      <c r="F100" s="7">
        <v>2021</v>
      </c>
      <c r="G100" s="7" t="s">
        <v>379</v>
      </c>
      <c r="H100" s="7">
        <v>2020</v>
      </c>
      <c r="I100" s="13" t="s">
        <v>49</v>
      </c>
      <c r="J100" s="7" t="s">
        <v>50</v>
      </c>
      <c r="K100" s="7" t="s">
        <v>374</v>
      </c>
      <c r="L100" s="7" t="s">
        <v>375</v>
      </c>
      <c r="M100" s="7" t="s">
        <v>376</v>
      </c>
      <c r="N100" s="7" t="s">
        <v>52</v>
      </c>
      <c r="O100" s="7" t="s">
        <v>377</v>
      </c>
      <c r="U100" s="7">
        <v>51</v>
      </c>
      <c r="W100" s="35">
        <f>408*0.47</f>
        <v>191.76</v>
      </c>
      <c r="X100" s="35"/>
      <c r="Y100" s="35">
        <f t="shared" si="1"/>
        <v>3.76</v>
      </c>
      <c r="Z100" s="33"/>
      <c r="AM100" t="s">
        <v>381</v>
      </c>
    </row>
    <row r="101" spans="1:39">
      <c r="A101" s="34"/>
      <c r="B101" t="s">
        <v>373</v>
      </c>
      <c r="C101" s="7">
        <v>19</v>
      </c>
      <c r="D101" s="7">
        <v>19</v>
      </c>
      <c r="E101" s="7" t="s">
        <v>378</v>
      </c>
      <c r="F101" s="7">
        <v>2021</v>
      </c>
      <c r="G101" s="7" t="s">
        <v>379</v>
      </c>
      <c r="H101" s="7">
        <v>2020</v>
      </c>
      <c r="I101" s="13" t="s">
        <v>49</v>
      </c>
      <c r="J101" s="7" t="s">
        <v>50</v>
      </c>
      <c r="K101" s="7" t="s">
        <v>374</v>
      </c>
      <c r="L101" s="7" t="s">
        <v>375</v>
      </c>
      <c r="M101" s="7" t="s">
        <v>376</v>
      </c>
      <c r="N101" s="7" t="s">
        <v>52</v>
      </c>
      <c r="O101" s="7" t="s">
        <v>377</v>
      </c>
      <c r="U101" s="7">
        <v>53</v>
      </c>
      <c r="W101" s="35">
        <f>437*0.47</f>
        <v>205.39</v>
      </c>
      <c r="X101" s="35"/>
      <c r="Y101" s="35">
        <f t="shared" si="1"/>
        <v>3.8752830188679241</v>
      </c>
      <c r="Z101" s="33"/>
      <c r="AM101" t="s">
        <v>381</v>
      </c>
    </row>
    <row r="102" spans="1:39">
      <c r="A102" s="34"/>
      <c r="B102" t="s">
        <v>373</v>
      </c>
      <c r="C102" s="7">
        <v>19</v>
      </c>
      <c r="D102" s="7">
        <v>20</v>
      </c>
      <c r="E102" s="7" t="s">
        <v>378</v>
      </c>
      <c r="F102" s="7">
        <v>2021</v>
      </c>
      <c r="G102" s="7" t="s">
        <v>379</v>
      </c>
      <c r="H102" s="7">
        <v>2020</v>
      </c>
      <c r="I102" s="13" t="s">
        <v>49</v>
      </c>
      <c r="J102" s="7" t="s">
        <v>50</v>
      </c>
      <c r="K102" s="7" t="s">
        <v>374</v>
      </c>
      <c r="L102" s="7" t="s">
        <v>375</v>
      </c>
      <c r="M102" s="7" t="s">
        <v>376</v>
      </c>
      <c r="N102" s="7" t="s">
        <v>52</v>
      </c>
      <c r="O102" s="7" t="s">
        <v>377</v>
      </c>
      <c r="U102" s="7">
        <v>54</v>
      </c>
      <c r="W102" s="35">
        <f>499*0.47</f>
        <v>234.52999999999997</v>
      </c>
      <c r="X102" s="35"/>
      <c r="Y102" s="35">
        <f t="shared" si="1"/>
        <v>4.3431481481481473</v>
      </c>
      <c r="Z102" s="33"/>
      <c r="AM102" t="s">
        <v>381</v>
      </c>
    </row>
    <row r="103" spans="1:39">
      <c r="A103" s="34"/>
      <c r="B103" t="s">
        <v>373</v>
      </c>
      <c r="C103" s="7">
        <v>19</v>
      </c>
      <c r="D103" s="7">
        <v>21</v>
      </c>
      <c r="E103" s="7" t="s">
        <v>378</v>
      </c>
      <c r="F103" s="7">
        <v>2021</v>
      </c>
      <c r="G103" s="7" t="s">
        <v>379</v>
      </c>
      <c r="H103" s="7">
        <v>2020</v>
      </c>
      <c r="I103" s="13" t="s">
        <v>49</v>
      </c>
      <c r="J103" s="7" t="s">
        <v>50</v>
      </c>
      <c r="K103" s="7" t="s">
        <v>374</v>
      </c>
      <c r="L103" s="7" t="s">
        <v>375</v>
      </c>
      <c r="M103" s="7" t="s">
        <v>376</v>
      </c>
      <c r="N103" s="7" t="s">
        <v>52</v>
      </c>
      <c r="O103" s="7" t="s">
        <v>377</v>
      </c>
      <c r="U103" s="7">
        <v>58</v>
      </c>
      <c r="W103" s="35">
        <f>447*0.47</f>
        <v>210.08999999999997</v>
      </c>
      <c r="X103" s="35"/>
      <c r="Y103" s="35">
        <f t="shared" si="1"/>
        <v>3.6222413793103443</v>
      </c>
      <c r="Z103" s="33"/>
      <c r="AM103" t="s">
        <v>381</v>
      </c>
    </row>
    <row r="104" spans="1:39">
      <c r="A104" s="34"/>
      <c r="B104" t="s">
        <v>373</v>
      </c>
      <c r="C104" s="7">
        <v>19</v>
      </c>
      <c r="D104" s="7">
        <v>22</v>
      </c>
      <c r="E104" s="7" t="s">
        <v>378</v>
      </c>
      <c r="F104" s="7">
        <v>2021</v>
      </c>
      <c r="G104" s="7" t="s">
        <v>379</v>
      </c>
      <c r="H104" s="7">
        <v>2020</v>
      </c>
      <c r="I104" s="13" t="s">
        <v>49</v>
      </c>
      <c r="J104" s="7" t="s">
        <v>50</v>
      </c>
      <c r="K104" s="7" t="s">
        <v>374</v>
      </c>
      <c r="L104" s="7" t="s">
        <v>375</v>
      </c>
      <c r="M104" s="7" t="s">
        <v>376</v>
      </c>
      <c r="N104" s="7" t="s">
        <v>52</v>
      </c>
      <c r="O104" s="7" t="s">
        <v>377</v>
      </c>
      <c r="U104" s="7">
        <v>35</v>
      </c>
      <c r="W104" s="35">
        <f>235*0.47</f>
        <v>110.44999999999999</v>
      </c>
      <c r="X104" s="35"/>
      <c r="Y104" s="35">
        <f>W104/U104</f>
        <v>3.1557142857142852</v>
      </c>
      <c r="Z104" s="33"/>
      <c r="AM104" t="s">
        <v>380</v>
      </c>
    </row>
    <row r="105" spans="1:39">
      <c r="A105" s="34"/>
      <c r="B105" t="s">
        <v>373</v>
      </c>
      <c r="C105" s="7">
        <v>19</v>
      </c>
      <c r="D105" s="7">
        <v>23</v>
      </c>
      <c r="E105" s="7" t="s">
        <v>378</v>
      </c>
      <c r="F105" s="7">
        <v>2021</v>
      </c>
      <c r="G105" s="7" t="s">
        <v>379</v>
      </c>
      <c r="H105" s="7">
        <v>2020</v>
      </c>
      <c r="I105" s="13" t="s">
        <v>49</v>
      </c>
      <c r="J105" s="7" t="s">
        <v>50</v>
      </c>
      <c r="K105" s="7" t="s">
        <v>374</v>
      </c>
      <c r="L105" s="7" t="s">
        <v>375</v>
      </c>
      <c r="M105" s="7" t="s">
        <v>376</v>
      </c>
      <c r="N105" s="7" t="s">
        <v>52</v>
      </c>
      <c r="O105" s="7" t="s">
        <v>377</v>
      </c>
      <c r="U105" s="7">
        <v>38</v>
      </c>
      <c r="W105" s="35">
        <f>348*0.47</f>
        <v>163.56</v>
      </c>
      <c r="X105" s="35"/>
      <c r="Y105" s="35">
        <f t="shared" ref="Y105:Y108" si="2">W105/U105</f>
        <v>4.3042105263157895</v>
      </c>
      <c r="Z105" s="33"/>
      <c r="AM105" t="s">
        <v>380</v>
      </c>
    </row>
    <row r="106" spans="1:39">
      <c r="A106" s="34"/>
      <c r="B106" t="s">
        <v>373</v>
      </c>
      <c r="C106" s="7">
        <v>19</v>
      </c>
      <c r="D106" s="7">
        <v>24</v>
      </c>
      <c r="E106" s="7" t="s">
        <v>378</v>
      </c>
      <c r="F106" s="7">
        <v>2021</v>
      </c>
      <c r="G106" s="7" t="s">
        <v>379</v>
      </c>
      <c r="H106" s="7">
        <v>2020</v>
      </c>
      <c r="I106" s="13" t="s">
        <v>49</v>
      </c>
      <c r="J106" s="7" t="s">
        <v>50</v>
      </c>
      <c r="K106" s="7" t="s">
        <v>374</v>
      </c>
      <c r="L106" s="7" t="s">
        <v>375</v>
      </c>
      <c r="M106" s="7" t="s">
        <v>376</v>
      </c>
      <c r="N106" s="7" t="s">
        <v>52</v>
      </c>
      <c r="O106" s="7" t="s">
        <v>377</v>
      </c>
      <c r="U106" s="7">
        <v>38</v>
      </c>
      <c r="W106" s="35">
        <f>388*0.47</f>
        <v>182.35999999999999</v>
      </c>
      <c r="X106" s="35"/>
      <c r="Y106" s="35">
        <f t="shared" si="2"/>
        <v>4.798947368421052</v>
      </c>
      <c r="Z106" s="33"/>
      <c r="AM106" t="s">
        <v>380</v>
      </c>
    </row>
    <row r="107" spans="1:39">
      <c r="A107" s="34"/>
      <c r="B107" t="s">
        <v>373</v>
      </c>
      <c r="C107" s="7">
        <v>19</v>
      </c>
      <c r="D107" s="7">
        <v>25</v>
      </c>
      <c r="E107" s="7" t="s">
        <v>378</v>
      </c>
      <c r="F107" s="7">
        <v>2021</v>
      </c>
      <c r="G107" s="7" t="s">
        <v>379</v>
      </c>
      <c r="H107" s="7">
        <v>2020</v>
      </c>
      <c r="I107" s="13" t="s">
        <v>49</v>
      </c>
      <c r="J107" s="7" t="s">
        <v>50</v>
      </c>
      <c r="K107" s="7" t="s">
        <v>374</v>
      </c>
      <c r="L107" s="7" t="s">
        <v>375</v>
      </c>
      <c r="M107" s="7" t="s">
        <v>376</v>
      </c>
      <c r="N107" s="7" t="s">
        <v>52</v>
      </c>
      <c r="O107" s="7" t="s">
        <v>377</v>
      </c>
      <c r="U107" s="7">
        <v>40</v>
      </c>
      <c r="W107" s="35">
        <f>395*0.47</f>
        <v>185.64999999999998</v>
      </c>
      <c r="X107" s="35"/>
      <c r="Y107" s="35">
        <f t="shared" si="2"/>
        <v>4.6412499999999994</v>
      </c>
      <c r="Z107" s="33"/>
      <c r="AM107" t="s">
        <v>380</v>
      </c>
    </row>
    <row r="108" spans="1:39">
      <c r="A108" s="34"/>
      <c r="B108" t="s">
        <v>373</v>
      </c>
      <c r="C108" s="7">
        <v>19</v>
      </c>
      <c r="D108" s="7">
        <v>26</v>
      </c>
      <c r="E108" s="7" t="s">
        <v>378</v>
      </c>
      <c r="F108" s="7">
        <v>2021</v>
      </c>
      <c r="G108" s="7" t="s">
        <v>379</v>
      </c>
      <c r="H108" s="7">
        <v>2020</v>
      </c>
      <c r="I108" s="13" t="s">
        <v>49</v>
      </c>
      <c r="J108" s="7" t="s">
        <v>50</v>
      </c>
      <c r="K108" s="7" t="s">
        <v>374</v>
      </c>
      <c r="L108" s="7" t="s">
        <v>375</v>
      </c>
      <c r="M108" s="7" t="s">
        <v>376</v>
      </c>
      <c r="N108" s="7" t="s">
        <v>52</v>
      </c>
      <c r="O108" s="7" t="s">
        <v>377</v>
      </c>
      <c r="U108" s="7">
        <v>36</v>
      </c>
      <c r="W108" s="35">
        <f>551*0.47</f>
        <v>258.96999999999997</v>
      </c>
      <c r="X108" s="35"/>
      <c r="Y108" s="35">
        <f t="shared" si="2"/>
        <v>7.1936111111111103</v>
      </c>
      <c r="Z108" s="33"/>
      <c r="AM108" t="s">
        <v>380</v>
      </c>
    </row>
    <row r="109" spans="1:39">
      <c r="A109" s="34"/>
      <c r="B109" t="s">
        <v>373</v>
      </c>
      <c r="C109" s="7">
        <v>19</v>
      </c>
      <c r="D109" s="7">
        <v>27</v>
      </c>
      <c r="E109" s="7" t="s">
        <v>378</v>
      </c>
      <c r="F109" s="7">
        <v>2021</v>
      </c>
      <c r="G109" s="7" t="s">
        <v>379</v>
      </c>
      <c r="H109" s="7">
        <v>2020</v>
      </c>
      <c r="I109" s="13" t="s">
        <v>49</v>
      </c>
      <c r="J109" s="7" t="s">
        <v>50</v>
      </c>
      <c r="K109" s="7" t="s">
        <v>374</v>
      </c>
      <c r="L109" s="7" t="s">
        <v>375</v>
      </c>
      <c r="M109" s="7" t="s">
        <v>376</v>
      </c>
      <c r="N109" s="7" t="s">
        <v>52</v>
      </c>
      <c r="O109" s="7" t="s">
        <v>382</v>
      </c>
      <c r="U109" s="7">
        <v>35</v>
      </c>
      <c r="W109" s="35">
        <f>238*0.47</f>
        <v>111.86</v>
      </c>
      <c r="X109" s="35"/>
      <c r="Y109" s="35">
        <f>W109/U109</f>
        <v>3.1960000000000002</v>
      </c>
      <c r="Z109" s="33"/>
      <c r="AM109" t="s">
        <v>380</v>
      </c>
    </row>
    <row r="110" spans="1:39">
      <c r="A110" s="34"/>
      <c r="B110" t="s">
        <v>373</v>
      </c>
      <c r="C110" s="7">
        <v>19</v>
      </c>
      <c r="D110" s="7">
        <v>28</v>
      </c>
      <c r="E110" s="7" t="s">
        <v>378</v>
      </c>
      <c r="F110" s="7">
        <v>2021</v>
      </c>
      <c r="G110" s="7" t="s">
        <v>379</v>
      </c>
      <c r="H110" s="7">
        <v>2020</v>
      </c>
      <c r="I110" s="13" t="s">
        <v>49</v>
      </c>
      <c r="J110" s="7" t="s">
        <v>50</v>
      </c>
      <c r="K110" s="7" t="s">
        <v>374</v>
      </c>
      <c r="L110" s="7" t="s">
        <v>375</v>
      </c>
      <c r="M110" s="7" t="s">
        <v>376</v>
      </c>
      <c r="N110" s="7" t="s">
        <v>52</v>
      </c>
      <c r="O110" s="7" t="s">
        <v>382</v>
      </c>
      <c r="U110" s="7">
        <v>21</v>
      </c>
      <c r="W110" s="35">
        <f>159*0.47</f>
        <v>74.72999999999999</v>
      </c>
      <c r="X110" s="35"/>
      <c r="Y110" s="35">
        <f>W110/U110</f>
        <v>3.5585714285714283</v>
      </c>
      <c r="Z110" s="33"/>
      <c r="AM110" t="s">
        <v>381</v>
      </c>
    </row>
    <row r="111" spans="1:39">
      <c r="A111" s="34"/>
      <c r="B111" t="s">
        <v>373</v>
      </c>
      <c r="C111" s="7">
        <v>19</v>
      </c>
      <c r="D111" s="7">
        <v>29</v>
      </c>
      <c r="E111" s="7" t="s">
        <v>378</v>
      </c>
      <c r="F111" s="7">
        <v>2021</v>
      </c>
      <c r="G111" s="7" t="s">
        <v>379</v>
      </c>
      <c r="H111" s="7">
        <v>2020</v>
      </c>
      <c r="I111" s="13" t="s">
        <v>49</v>
      </c>
      <c r="J111" s="7" t="s">
        <v>50</v>
      </c>
      <c r="K111" s="7" t="s">
        <v>374</v>
      </c>
      <c r="L111" s="7" t="s">
        <v>375</v>
      </c>
      <c r="M111" s="7" t="s">
        <v>376</v>
      </c>
      <c r="N111" s="7" t="s">
        <v>52</v>
      </c>
      <c r="O111" s="7" t="s">
        <v>383</v>
      </c>
      <c r="U111" s="7">
        <v>21</v>
      </c>
      <c r="W111" s="35">
        <f>288*0.47</f>
        <v>135.35999999999999</v>
      </c>
      <c r="X111" s="35"/>
      <c r="Y111" s="35">
        <f t="shared" ref="Y111:Y113" si="3">W111/U111</f>
        <v>6.4457142857142848</v>
      </c>
      <c r="Z111" s="33"/>
      <c r="AM111" t="s">
        <v>381</v>
      </c>
    </row>
    <row r="112" spans="1:39">
      <c r="A112" s="34"/>
      <c r="B112" t="s">
        <v>373</v>
      </c>
      <c r="C112" s="7">
        <v>19</v>
      </c>
      <c r="D112" s="7">
        <v>30</v>
      </c>
      <c r="E112" s="7" t="s">
        <v>378</v>
      </c>
      <c r="F112" s="7">
        <v>2021</v>
      </c>
      <c r="G112" s="7" t="s">
        <v>379</v>
      </c>
      <c r="H112" s="7">
        <v>2020</v>
      </c>
      <c r="I112" s="13" t="s">
        <v>49</v>
      </c>
      <c r="J112" s="7" t="s">
        <v>50</v>
      </c>
      <c r="K112" s="7" t="s">
        <v>374</v>
      </c>
      <c r="L112" s="7" t="s">
        <v>375</v>
      </c>
      <c r="M112" s="7" t="s">
        <v>376</v>
      </c>
      <c r="N112" s="7" t="s">
        <v>52</v>
      </c>
      <c r="O112" s="7" t="s">
        <v>383</v>
      </c>
      <c r="U112" s="7">
        <v>25</v>
      </c>
      <c r="W112" s="35">
        <f>281*0.47</f>
        <v>132.07</v>
      </c>
      <c r="X112" s="35"/>
      <c r="Y112" s="35">
        <f t="shared" si="3"/>
        <v>5.2827999999999999</v>
      </c>
      <c r="Z112" s="33"/>
      <c r="AM112" t="s">
        <v>381</v>
      </c>
    </row>
    <row r="113" spans="1:39">
      <c r="A113" s="34"/>
      <c r="B113" t="s">
        <v>373</v>
      </c>
      <c r="C113" s="7">
        <v>19</v>
      </c>
      <c r="D113" s="7">
        <v>31</v>
      </c>
      <c r="E113" s="7" t="s">
        <v>378</v>
      </c>
      <c r="F113" s="7">
        <v>2021</v>
      </c>
      <c r="G113" s="7" t="s">
        <v>379</v>
      </c>
      <c r="H113" s="7">
        <v>2020</v>
      </c>
      <c r="I113" s="13" t="s">
        <v>49</v>
      </c>
      <c r="J113" s="7" t="s">
        <v>50</v>
      </c>
      <c r="K113" s="7" t="s">
        <v>374</v>
      </c>
      <c r="L113" s="7" t="s">
        <v>375</v>
      </c>
      <c r="M113" s="7" t="s">
        <v>376</v>
      </c>
      <c r="N113" s="7" t="s">
        <v>52</v>
      </c>
      <c r="O113" s="7" t="s">
        <v>383</v>
      </c>
      <c r="U113" s="7">
        <v>34</v>
      </c>
      <c r="W113" s="35">
        <f>280*0.47</f>
        <v>131.6</v>
      </c>
      <c r="X113" s="35"/>
      <c r="Y113" s="35">
        <f t="shared" si="3"/>
        <v>3.8705882352941177</v>
      </c>
      <c r="Z113" s="33"/>
      <c r="AM113" t="s">
        <v>380</v>
      </c>
    </row>
    <row r="114" spans="1:39">
      <c r="A114" s="34"/>
      <c r="B114" t="s">
        <v>373</v>
      </c>
      <c r="C114" s="7">
        <v>19</v>
      </c>
      <c r="D114" s="7">
        <v>32</v>
      </c>
      <c r="E114" s="7" t="s">
        <v>378</v>
      </c>
      <c r="F114" s="7">
        <v>2021</v>
      </c>
      <c r="G114" s="7" t="s">
        <v>379</v>
      </c>
      <c r="H114" s="7">
        <v>2020</v>
      </c>
      <c r="I114" s="13" t="s">
        <v>49</v>
      </c>
      <c r="J114" s="7" t="s">
        <v>50</v>
      </c>
      <c r="K114" s="7" t="s">
        <v>374</v>
      </c>
      <c r="L114" s="7" t="s">
        <v>375</v>
      </c>
      <c r="M114" s="7" t="s">
        <v>376</v>
      </c>
      <c r="N114" s="7" t="s">
        <v>52</v>
      </c>
      <c r="O114" s="7" t="s">
        <v>384</v>
      </c>
      <c r="U114" s="7">
        <v>25</v>
      </c>
      <c r="W114" s="35">
        <f>126*0.47</f>
        <v>59.22</v>
      </c>
      <c r="X114" s="35"/>
      <c r="Y114" s="35">
        <f>W114/U114</f>
        <v>2.3687999999999998</v>
      </c>
      <c r="Z114" s="33"/>
      <c r="AM114" t="s">
        <v>381</v>
      </c>
    </row>
    <row r="115" spans="1:39">
      <c r="A115" s="34"/>
      <c r="B115" t="s">
        <v>373</v>
      </c>
      <c r="C115" s="7">
        <v>19</v>
      </c>
      <c r="D115" s="7">
        <v>33</v>
      </c>
      <c r="E115" s="7" t="s">
        <v>378</v>
      </c>
      <c r="F115" s="7">
        <v>2021</v>
      </c>
      <c r="G115" s="7" t="s">
        <v>379</v>
      </c>
      <c r="H115" s="7">
        <v>2020</v>
      </c>
      <c r="I115" s="13" t="s">
        <v>49</v>
      </c>
      <c r="J115" s="7" t="s">
        <v>50</v>
      </c>
      <c r="K115" s="7" t="s">
        <v>374</v>
      </c>
      <c r="L115" s="7" t="s">
        <v>375</v>
      </c>
      <c r="M115" s="7" t="s">
        <v>376</v>
      </c>
      <c r="N115" s="7" t="s">
        <v>52</v>
      </c>
      <c r="O115" s="7" t="s">
        <v>385</v>
      </c>
      <c r="U115" s="7">
        <v>10</v>
      </c>
      <c r="W115" s="35">
        <f>54*0.47</f>
        <v>25.38</v>
      </c>
      <c r="X115" s="35"/>
      <c r="Y115" s="35">
        <f>W115/U115</f>
        <v>2.5379999999999998</v>
      </c>
      <c r="Z115" s="33"/>
      <c r="AM115" t="s">
        <v>381</v>
      </c>
    </row>
    <row r="116" spans="1:39">
      <c r="A116" s="34"/>
      <c r="B116" t="s">
        <v>373</v>
      </c>
      <c r="C116" s="7">
        <v>19</v>
      </c>
      <c r="D116" s="7">
        <v>34</v>
      </c>
      <c r="E116" s="7" t="s">
        <v>378</v>
      </c>
      <c r="F116" s="7">
        <v>2021</v>
      </c>
      <c r="G116" s="7" t="s">
        <v>379</v>
      </c>
      <c r="H116" s="7">
        <v>2020</v>
      </c>
      <c r="I116" s="13" t="s">
        <v>49</v>
      </c>
      <c r="J116" s="7" t="s">
        <v>50</v>
      </c>
      <c r="K116" s="7" t="s">
        <v>374</v>
      </c>
      <c r="L116" s="7" t="s">
        <v>375</v>
      </c>
      <c r="M116" s="7" t="s">
        <v>376</v>
      </c>
      <c r="N116" s="7" t="s">
        <v>52</v>
      </c>
      <c r="O116" s="7" t="s">
        <v>382</v>
      </c>
      <c r="U116" s="7">
        <v>53</v>
      </c>
      <c r="W116" s="35">
        <f>384*0.47</f>
        <v>180.48</v>
      </c>
      <c r="X116" s="35"/>
      <c r="Y116" s="35">
        <f>W116/U116</f>
        <v>3.4052830188679244</v>
      </c>
      <c r="Z116" s="33"/>
      <c r="AM116" t="s">
        <v>380</v>
      </c>
    </row>
    <row r="117" spans="1:39">
      <c r="A117" s="34"/>
      <c r="B117" t="s">
        <v>373</v>
      </c>
      <c r="C117" s="7">
        <v>19</v>
      </c>
      <c r="D117" s="7">
        <v>35</v>
      </c>
      <c r="E117" s="7" t="s">
        <v>378</v>
      </c>
      <c r="F117" s="7">
        <v>2021</v>
      </c>
      <c r="G117" s="7" t="s">
        <v>379</v>
      </c>
      <c r="H117" s="7">
        <v>2020</v>
      </c>
      <c r="I117" s="13" t="s">
        <v>49</v>
      </c>
      <c r="J117" s="7" t="s">
        <v>50</v>
      </c>
      <c r="K117" s="7" t="s">
        <v>374</v>
      </c>
      <c r="L117" s="7" t="s">
        <v>375</v>
      </c>
      <c r="M117" s="7" t="s">
        <v>376</v>
      </c>
      <c r="N117" s="7" t="s">
        <v>52</v>
      </c>
      <c r="O117" s="7" t="s">
        <v>382</v>
      </c>
      <c r="U117" s="7">
        <v>39</v>
      </c>
      <c r="W117" s="35">
        <f>398*0.47</f>
        <v>187.06</v>
      </c>
      <c r="X117" s="35"/>
      <c r="Y117" s="35">
        <f>W117/U117</f>
        <v>4.7964102564102564</v>
      </c>
      <c r="Z117" s="33"/>
      <c r="AM117" t="s">
        <v>380</v>
      </c>
    </row>
    <row r="118" spans="1:39">
      <c r="A118" s="34"/>
      <c r="B118" t="s">
        <v>373</v>
      </c>
      <c r="C118" s="7">
        <v>19</v>
      </c>
      <c r="D118" s="7">
        <v>36</v>
      </c>
      <c r="E118" s="7" t="s">
        <v>378</v>
      </c>
      <c r="F118" s="7">
        <v>2021</v>
      </c>
      <c r="G118" s="7" t="s">
        <v>379</v>
      </c>
      <c r="H118" s="7">
        <v>2020</v>
      </c>
      <c r="I118" s="13" t="s">
        <v>49</v>
      </c>
      <c r="J118" s="7" t="s">
        <v>50</v>
      </c>
      <c r="K118" s="7" t="s">
        <v>374</v>
      </c>
      <c r="L118" s="7" t="s">
        <v>375</v>
      </c>
      <c r="M118" s="7" t="s">
        <v>376</v>
      </c>
      <c r="N118" s="7" t="s">
        <v>52</v>
      </c>
      <c r="O118" s="7" t="s">
        <v>383</v>
      </c>
      <c r="U118" s="7">
        <v>21</v>
      </c>
      <c r="W118" s="35">
        <f>628*0.47</f>
        <v>295.15999999999997</v>
      </c>
      <c r="X118" s="35"/>
      <c r="Y118" s="35">
        <f>W118/U118</f>
        <v>14.055238095238094</v>
      </c>
      <c r="Z118" s="33"/>
      <c r="AM118" t="s">
        <v>381</v>
      </c>
    </row>
    <row r="119" spans="1:39">
      <c r="A119" s="34"/>
      <c r="B119" t="s">
        <v>373</v>
      </c>
      <c r="C119" s="7">
        <v>19</v>
      </c>
      <c r="D119" s="7">
        <v>37</v>
      </c>
      <c r="E119" s="7" t="s">
        <v>378</v>
      </c>
      <c r="F119" s="7">
        <v>2021</v>
      </c>
      <c r="G119" s="7" t="s">
        <v>379</v>
      </c>
      <c r="H119" s="7">
        <v>2020</v>
      </c>
      <c r="I119" s="13" t="s">
        <v>49</v>
      </c>
      <c r="J119" s="7" t="s">
        <v>50</v>
      </c>
      <c r="K119" s="7" t="s">
        <v>374</v>
      </c>
      <c r="L119" s="7" t="s">
        <v>375</v>
      </c>
      <c r="M119" s="7" t="s">
        <v>376</v>
      </c>
      <c r="N119" s="7" t="s">
        <v>52</v>
      </c>
      <c r="O119" s="7" t="s">
        <v>383</v>
      </c>
      <c r="U119" s="7">
        <v>25</v>
      </c>
      <c r="W119" s="35">
        <f>441*0.47</f>
        <v>207.26999999999998</v>
      </c>
      <c r="X119" s="35"/>
      <c r="Y119" s="35">
        <f t="shared" ref="Y119:Y122" si="4">W119/U119</f>
        <v>8.2907999999999991</v>
      </c>
      <c r="Z119" s="33"/>
      <c r="AM119" t="s">
        <v>381</v>
      </c>
    </row>
    <row r="120" spans="1:39">
      <c r="A120" s="34"/>
      <c r="B120" t="s">
        <v>373</v>
      </c>
      <c r="C120" s="7">
        <v>19</v>
      </c>
      <c r="D120" s="7">
        <v>38</v>
      </c>
      <c r="E120" s="7" t="s">
        <v>378</v>
      </c>
      <c r="F120" s="7">
        <v>2021</v>
      </c>
      <c r="G120" s="7" t="s">
        <v>379</v>
      </c>
      <c r="H120" s="7">
        <v>2020</v>
      </c>
      <c r="I120" s="13" t="s">
        <v>49</v>
      </c>
      <c r="J120" s="7" t="s">
        <v>50</v>
      </c>
      <c r="K120" s="7" t="s">
        <v>374</v>
      </c>
      <c r="L120" s="7" t="s">
        <v>375</v>
      </c>
      <c r="M120" s="7" t="s">
        <v>376</v>
      </c>
      <c r="N120" s="7" t="s">
        <v>52</v>
      </c>
      <c r="O120" s="7" t="s">
        <v>383</v>
      </c>
      <c r="U120" s="7">
        <v>34</v>
      </c>
      <c r="W120" s="35">
        <f>515*0.47</f>
        <v>242.04999999999998</v>
      </c>
      <c r="X120" s="35"/>
      <c r="Y120" s="35">
        <f t="shared" si="4"/>
        <v>7.1191176470588227</v>
      </c>
      <c r="Z120" s="33"/>
      <c r="AM120" t="s">
        <v>380</v>
      </c>
    </row>
    <row r="121" spans="1:39">
      <c r="A121" s="34"/>
      <c r="B121" t="s">
        <v>373</v>
      </c>
      <c r="C121" s="7">
        <v>19</v>
      </c>
      <c r="D121" s="7">
        <v>39</v>
      </c>
      <c r="E121" s="7" t="s">
        <v>378</v>
      </c>
      <c r="F121" s="7">
        <v>2021</v>
      </c>
      <c r="G121" s="7" t="s">
        <v>379</v>
      </c>
      <c r="H121" s="7">
        <v>2020</v>
      </c>
      <c r="I121" s="13" t="s">
        <v>49</v>
      </c>
      <c r="J121" s="7" t="s">
        <v>50</v>
      </c>
      <c r="K121" s="7" t="s">
        <v>374</v>
      </c>
      <c r="L121" s="7" t="s">
        <v>375</v>
      </c>
      <c r="M121" s="7" t="s">
        <v>376</v>
      </c>
      <c r="N121" s="7" t="s">
        <v>52</v>
      </c>
      <c r="O121" s="7" t="s">
        <v>384</v>
      </c>
      <c r="U121">
        <v>25</v>
      </c>
      <c r="W121">
        <f>8*0.47</f>
        <v>3.76</v>
      </c>
      <c r="Y121" s="35">
        <f t="shared" si="4"/>
        <v>0.15039999999999998</v>
      </c>
      <c r="Z121" s="33"/>
      <c r="AM121" t="s">
        <v>381</v>
      </c>
    </row>
    <row r="122" spans="1:39">
      <c r="A122" s="34"/>
      <c r="B122" t="s">
        <v>373</v>
      </c>
      <c r="C122" s="7">
        <v>19</v>
      </c>
      <c r="D122" s="7">
        <v>40</v>
      </c>
      <c r="E122" s="7" t="s">
        <v>378</v>
      </c>
      <c r="F122" s="7">
        <v>2021</v>
      </c>
      <c r="G122" s="7" t="s">
        <v>379</v>
      </c>
      <c r="H122" s="7">
        <v>2020</v>
      </c>
      <c r="I122" s="13" t="s">
        <v>49</v>
      </c>
      <c r="J122" s="7" t="s">
        <v>50</v>
      </c>
      <c r="K122" s="7" t="s">
        <v>374</v>
      </c>
      <c r="L122" s="7" t="s">
        <v>375</v>
      </c>
      <c r="M122" s="7" t="s">
        <v>376</v>
      </c>
      <c r="N122" s="7" t="s">
        <v>52</v>
      </c>
      <c r="O122" s="7" t="s">
        <v>385</v>
      </c>
      <c r="U122">
        <v>10</v>
      </c>
      <c r="W122">
        <f>233*0.47</f>
        <v>109.50999999999999</v>
      </c>
      <c r="Y122" s="35">
        <f t="shared" si="4"/>
        <v>10.950999999999999</v>
      </c>
      <c r="Z122" s="33"/>
      <c r="AM122" t="s">
        <v>381</v>
      </c>
    </row>
    <row r="123" spans="1:39">
      <c r="B123" s="37" t="s">
        <v>357</v>
      </c>
      <c r="C123" s="7">
        <v>20</v>
      </c>
      <c r="D123" s="7">
        <v>1</v>
      </c>
      <c r="E123" s="7" t="s">
        <v>386</v>
      </c>
      <c r="F123" s="7">
        <v>2022</v>
      </c>
      <c r="G123" s="7" t="s">
        <v>387</v>
      </c>
      <c r="H123" s="7">
        <v>2010</v>
      </c>
      <c r="I123" s="13" t="s">
        <v>49</v>
      </c>
      <c r="J123" s="7" t="s">
        <v>58</v>
      </c>
      <c r="K123" s="7" t="s">
        <v>388</v>
      </c>
      <c r="L123" s="7" t="s">
        <v>389</v>
      </c>
      <c r="M123" s="7" t="s">
        <v>390</v>
      </c>
      <c r="N123" s="7" t="s">
        <v>101</v>
      </c>
      <c r="O123" s="69" t="s">
        <v>391</v>
      </c>
      <c r="P123" s="7" t="s">
        <v>335</v>
      </c>
      <c r="Q123" s="7">
        <v>1275</v>
      </c>
      <c r="R123" s="7" t="s">
        <v>392</v>
      </c>
      <c r="U123" s="7">
        <v>10</v>
      </c>
      <c r="Z123" s="33">
        <f>((35.3+20.8+20.9)-(19.2+20.1+19.3))/10</f>
        <v>1.8400000000000005</v>
      </c>
      <c r="AA123" s="7" t="s">
        <v>68</v>
      </c>
    </row>
    <row r="124" spans="1:39">
      <c r="B124" s="37" t="s">
        <v>357</v>
      </c>
      <c r="C124" s="7">
        <v>21</v>
      </c>
      <c r="D124" s="7">
        <v>1</v>
      </c>
      <c r="E124" s="7" t="s">
        <v>393</v>
      </c>
      <c r="F124" s="7">
        <v>2013</v>
      </c>
      <c r="G124" s="7" t="s">
        <v>394</v>
      </c>
      <c r="I124" s="13" t="s">
        <v>49</v>
      </c>
      <c r="J124" s="7" t="s">
        <v>58</v>
      </c>
      <c r="K124" s="7" t="s">
        <v>395</v>
      </c>
      <c r="N124" s="7" t="s">
        <v>101</v>
      </c>
      <c r="O124" s="69" t="s">
        <v>396</v>
      </c>
      <c r="P124" s="7">
        <v>13</v>
      </c>
      <c r="Q124" s="7">
        <v>385</v>
      </c>
      <c r="R124" s="7" t="s">
        <v>397</v>
      </c>
      <c r="U124" s="7">
        <v>5</v>
      </c>
      <c r="Z124" s="33">
        <f>(78.16-65.51)/5</f>
        <v>2.5299999999999985</v>
      </c>
      <c r="AA124" s="7" t="s">
        <v>68</v>
      </c>
    </row>
    <row r="125" spans="1:39">
      <c r="B125" s="37" t="s">
        <v>357</v>
      </c>
      <c r="C125" s="7">
        <v>21</v>
      </c>
      <c r="D125" s="7">
        <v>2</v>
      </c>
      <c r="E125" s="7" t="s">
        <v>393</v>
      </c>
      <c r="F125" s="7">
        <v>2013</v>
      </c>
      <c r="G125" s="7" t="s">
        <v>394</v>
      </c>
      <c r="I125" s="13" t="s">
        <v>49</v>
      </c>
      <c r="J125" s="7" t="s">
        <v>58</v>
      </c>
      <c r="K125" s="7" t="s">
        <v>395</v>
      </c>
      <c r="N125" s="7" t="s">
        <v>101</v>
      </c>
      <c r="O125" s="69" t="s">
        <v>396</v>
      </c>
      <c r="P125" s="7">
        <v>13</v>
      </c>
      <c r="Q125" s="7">
        <v>385</v>
      </c>
      <c r="R125" s="7" t="s">
        <v>397</v>
      </c>
      <c r="U125" s="7">
        <v>10</v>
      </c>
      <c r="Z125" s="33">
        <f>(79.09-65.51)/10</f>
        <v>1.3579999999999999</v>
      </c>
      <c r="AA125" s="7" t="s">
        <v>68</v>
      </c>
    </row>
    <row r="126" spans="1:39">
      <c r="B126" s="37" t="s">
        <v>357</v>
      </c>
      <c r="C126" s="7">
        <v>21</v>
      </c>
      <c r="D126" s="7">
        <v>3</v>
      </c>
      <c r="E126" s="7" t="s">
        <v>393</v>
      </c>
      <c r="F126" s="7">
        <v>2013</v>
      </c>
      <c r="G126" s="7" t="s">
        <v>394</v>
      </c>
      <c r="I126" s="13" t="s">
        <v>49</v>
      </c>
      <c r="J126" s="7" t="s">
        <v>58</v>
      </c>
      <c r="K126" s="7" t="s">
        <v>395</v>
      </c>
      <c r="N126" s="7" t="s">
        <v>101</v>
      </c>
      <c r="O126" s="69" t="s">
        <v>396</v>
      </c>
      <c r="P126" s="7">
        <v>13</v>
      </c>
      <c r="Q126" s="7">
        <v>385</v>
      </c>
      <c r="R126" s="7" t="s">
        <v>397</v>
      </c>
      <c r="U126" s="7">
        <v>20</v>
      </c>
      <c r="Z126" s="33">
        <f>(83.7-65.51)/20</f>
        <v>0.90949999999999986</v>
      </c>
      <c r="AA126" s="7" t="s">
        <v>68</v>
      </c>
    </row>
    <row r="127" spans="1:39">
      <c r="A127" s="34"/>
      <c r="B127" s="37" t="s">
        <v>357</v>
      </c>
      <c r="C127" s="7">
        <v>21</v>
      </c>
      <c r="D127" s="7">
        <v>4</v>
      </c>
      <c r="E127" s="7" t="s">
        <v>393</v>
      </c>
      <c r="F127" s="7">
        <v>2013</v>
      </c>
      <c r="G127" s="7" t="s">
        <v>394</v>
      </c>
      <c r="I127" s="13" t="s">
        <v>49</v>
      </c>
      <c r="J127" s="7" t="s">
        <v>58</v>
      </c>
      <c r="K127" s="7" t="s">
        <v>395</v>
      </c>
      <c r="N127" s="7" t="s">
        <v>101</v>
      </c>
      <c r="O127" s="69" t="s">
        <v>396</v>
      </c>
      <c r="P127" s="7">
        <v>13</v>
      </c>
      <c r="Q127" s="7">
        <v>385</v>
      </c>
      <c r="R127" s="7" t="s">
        <v>397</v>
      </c>
      <c r="U127">
        <v>30</v>
      </c>
      <c r="Y127" s="35"/>
      <c r="Z127" s="33">
        <f>(92.12-65.51)/30</f>
        <v>0.88700000000000001</v>
      </c>
      <c r="AA127" s="7" t="s">
        <v>68</v>
      </c>
    </row>
    <row r="128" spans="1:39">
      <c r="A128" s="34"/>
      <c r="B128" s="37" t="s">
        <v>357</v>
      </c>
      <c r="C128" s="7">
        <v>21</v>
      </c>
      <c r="D128" s="7">
        <v>5</v>
      </c>
      <c r="E128" s="7" t="s">
        <v>393</v>
      </c>
      <c r="F128" s="7">
        <v>2013</v>
      </c>
      <c r="G128" s="7" t="s">
        <v>394</v>
      </c>
      <c r="I128" s="13" t="s">
        <v>49</v>
      </c>
      <c r="J128" s="7" t="s">
        <v>58</v>
      </c>
      <c r="K128" s="7" t="s">
        <v>395</v>
      </c>
      <c r="N128" s="7" t="s">
        <v>101</v>
      </c>
      <c r="O128" s="69" t="s">
        <v>396</v>
      </c>
      <c r="P128" s="7">
        <v>13</v>
      </c>
      <c r="Q128" s="7">
        <v>385</v>
      </c>
      <c r="R128" s="7" t="s">
        <v>397</v>
      </c>
      <c r="U128">
        <v>50</v>
      </c>
      <c r="Y128" s="35"/>
      <c r="Z128" s="33">
        <f>(94.45-65.51)/50</f>
        <v>0.57879999999999998</v>
      </c>
      <c r="AA128" s="7" t="s">
        <v>68</v>
      </c>
    </row>
    <row r="129" spans="1:39">
      <c r="A129" s="34"/>
      <c r="B129" s="37" t="s">
        <v>357</v>
      </c>
      <c r="C129" s="7">
        <v>21</v>
      </c>
      <c r="D129" s="7">
        <v>6</v>
      </c>
      <c r="E129" s="7" t="s">
        <v>393</v>
      </c>
      <c r="F129" s="7">
        <v>2013</v>
      </c>
      <c r="G129" s="7" t="s">
        <v>394</v>
      </c>
      <c r="I129" s="13" t="s">
        <v>49</v>
      </c>
      <c r="J129" s="7" t="s">
        <v>58</v>
      </c>
      <c r="K129" s="7" t="s">
        <v>395</v>
      </c>
      <c r="N129" s="7" t="s">
        <v>101</v>
      </c>
      <c r="O129" s="69" t="s">
        <v>396</v>
      </c>
      <c r="P129" s="7">
        <v>13</v>
      </c>
      <c r="Q129" s="7">
        <v>385</v>
      </c>
      <c r="R129" s="7" t="s">
        <v>397</v>
      </c>
      <c r="U129">
        <v>100</v>
      </c>
      <c r="Y129" s="35"/>
      <c r="Z129" s="33">
        <f>(116.15-65.51)/100</f>
        <v>0.50639999999999996</v>
      </c>
      <c r="AA129" s="7" t="s">
        <v>68</v>
      </c>
    </row>
    <row r="130" spans="1:39">
      <c r="A130" s="34"/>
      <c r="B130" s="37" t="s">
        <v>357</v>
      </c>
      <c r="C130" s="7">
        <v>22</v>
      </c>
      <c r="D130" s="7">
        <v>1</v>
      </c>
      <c r="E130" s="7" t="s">
        <v>398</v>
      </c>
      <c r="F130" s="7">
        <v>2022</v>
      </c>
      <c r="G130" s="7" t="s">
        <v>387</v>
      </c>
      <c r="H130" s="7">
        <v>2020</v>
      </c>
      <c r="I130" s="13" t="s">
        <v>49</v>
      </c>
      <c r="J130" s="7" t="s">
        <v>58</v>
      </c>
      <c r="K130" s="7" t="s">
        <v>399</v>
      </c>
      <c r="L130" s="7" t="s">
        <v>400</v>
      </c>
      <c r="M130" s="7" t="s">
        <v>401</v>
      </c>
      <c r="N130" s="7" t="s">
        <v>101</v>
      </c>
      <c r="O130" s="7" t="s">
        <v>402</v>
      </c>
      <c r="P130" s="7" t="s">
        <v>403</v>
      </c>
      <c r="Q130" s="7">
        <v>595</v>
      </c>
      <c r="R130" s="7" t="s">
        <v>404</v>
      </c>
      <c r="U130">
        <v>26</v>
      </c>
      <c r="Y130" s="35"/>
      <c r="Z130" s="33">
        <f>(41.51-23.16)/26</f>
        <v>0.7057692307692307</v>
      </c>
      <c r="AA130" s="7" t="s">
        <v>372</v>
      </c>
    </row>
    <row r="131" spans="1:39">
      <c r="A131" s="34"/>
      <c r="B131" s="37" t="s">
        <v>405</v>
      </c>
      <c r="C131" s="7">
        <v>23</v>
      </c>
      <c r="D131" s="7">
        <v>1</v>
      </c>
      <c r="E131" s="7" t="s">
        <v>406</v>
      </c>
      <c r="F131" s="7">
        <v>2024</v>
      </c>
      <c r="G131" s="7" t="s">
        <v>407</v>
      </c>
      <c r="I131" s="13" t="s">
        <v>49</v>
      </c>
      <c r="J131" s="7" t="s">
        <v>58</v>
      </c>
      <c r="K131" s="7" t="s">
        <v>408</v>
      </c>
      <c r="L131" s="7" t="s">
        <v>409</v>
      </c>
      <c r="M131" s="7" t="s">
        <v>410</v>
      </c>
      <c r="N131" s="7" t="s">
        <v>101</v>
      </c>
      <c r="O131" s="7" t="s">
        <v>411</v>
      </c>
      <c r="P131" s="7">
        <v>17</v>
      </c>
      <c r="Q131" s="7">
        <v>475</v>
      </c>
      <c r="R131" s="7" t="s">
        <v>412</v>
      </c>
      <c r="U131">
        <v>11</v>
      </c>
      <c r="Y131" s="35"/>
      <c r="Z131" s="33">
        <v>0.18</v>
      </c>
      <c r="AA131" s="7" t="s">
        <v>68</v>
      </c>
    </row>
    <row r="132" spans="1:39" ht="15.75" customHeight="1">
      <c r="A132" s="9" t="s">
        <v>6</v>
      </c>
      <c r="B132" s="9" t="s">
        <v>7</v>
      </c>
      <c r="C132" s="10" t="s">
        <v>8</v>
      </c>
      <c r="D132" s="18" t="s">
        <v>9</v>
      </c>
      <c r="E132" s="19" t="s">
        <v>10</v>
      </c>
      <c r="F132" s="18" t="s">
        <v>11</v>
      </c>
      <c r="G132" s="18" t="s">
        <v>12</v>
      </c>
      <c r="H132" s="10" t="s">
        <v>13</v>
      </c>
      <c r="I132" s="10" t="s">
        <v>14</v>
      </c>
      <c r="J132" s="11" t="s">
        <v>15</v>
      </c>
      <c r="K132" s="11" t="s">
        <v>16</v>
      </c>
      <c r="L132" s="11" t="s">
        <v>17</v>
      </c>
      <c r="M132" s="11" t="s">
        <v>18</v>
      </c>
      <c r="N132" s="11" t="s">
        <v>19</v>
      </c>
      <c r="O132" s="11" t="s">
        <v>20</v>
      </c>
      <c r="P132" s="11" t="s">
        <v>21</v>
      </c>
      <c r="Q132" s="11" t="s">
        <v>22</v>
      </c>
      <c r="R132" s="11" t="s">
        <v>23</v>
      </c>
      <c r="S132" s="11" t="s">
        <v>24</v>
      </c>
      <c r="T132" s="4" t="s">
        <v>25</v>
      </c>
      <c r="U132" s="11" t="s">
        <v>26</v>
      </c>
      <c r="V132" s="11" t="s">
        <v>27</v>
      </c>
      <c r="W132" s="10" t="s">
        <v>28</v>
      </c>
      <c r="X132" s="10" t="s">
        <v>29</v>
      </c>
      <c r="Y132" s="4" t="s">
        <v>30</v>
      </c>
      <c r="Z132" s="5" t="s">
        <v>31</v>
      </c>
      <c r="AA132" s="6" t="s">
        <v>32</v>
      </c>
      <c r="AB132" s="6" t="s">
        <v>33</v>
      </c>
      <c r="AC132" s="6" t="s">
        <v>34</v>
      </c>
      <c r="AD132" s="6" t="s">
        <v>35</v>
      </c>
      <c r="AE132" s="6" t="s">
        <v>36</v>
      </c>
      <c r="AF132" s="6" t="s">
        <v>37</v>
      </c>
      <c r="AG132" s="5" t="s">
        <v>38</v>
      </c>
      <c r="AH132" s="6" t="s">
        <v>39</v>
      </c>
      <c r="AI132" s="6" t="s">
        <v>40</v>
      </c>
      <c r="AJ132" s="6" t="s">
        <v>41</v>
      </c>
      <c r="AK132" s="6" t="s">
        <v>42</v>
      </c>
      <c r="AL132" s="6" t="s">
        <v>43</v>
      </c>
      <c r="AM132" t="s">
        <v>44</v>
      </c>
    </row>
    <row r="133" spans="1:39" s="37" customFormat="1" ht="15.75" customHeight="1">
      <c r="A133" s="36" t="s">
        <v>413</v>
      </c>
      <c r="B133" s="37" t="s">
        <v>414</v>
      </c>
      <c r="C133" s="38">
        <v>24</v>
      </c>
      <c r="D133" s="38"/>
      <c r="E133" s="38" t="s">
        <v>415</v>
      </c>
      <c r="F133" s="38">
        <v>2021</v>
      </c>
      <c r="G133" s="38" t="s">
        <v>416</v>
      </c>
      <c r="H133" s="38">
        <v>2017</v>
      </c>
      <c r="I133" s="38"/>
      <c r="J133" s="38" t="s">
        <v>58</v>
      </c>
      <c r="K133" s="38" t="s">
        <v>417</v>
      </c>
      <c r="L133" s="38"/>
      <c r="M133" s="38"/>
      <c r="N133" s="38" t="s">
        <v>101</v>
      </c>
      <c r="O133" s="38" t="s">
        <v>418</v>
      </c>
      <c r="P133" s="38" t="s">
        <v>273</v>
      </c>
      <c r="Q133" s="38">
        <v>1300</v>
      </c>
      <c r="R133" s="38" t="s">
        <v>412</v>
      </c>
      <c r="S133" s="38"/>
      <c r="T133" t="s">
        <v>419</v>
      </c>
      <c r="U133" s="37">
        <v>60</v>
      </c>
      <c r="Z133" s="33">
        <f>(98-87)/60</f>
        <v>0.18333333333333332</v>
      </c>
      <c r="AA133" s="38" t="s">
        <v>68</v>
      </c>
      <c r="AH133" s="38"/>
      <c r="AI133" s="38"/>
      <c r="AJ133" s="38"/>
      <c r="AK133" s="38"/>
      <c r="AL133" s="38"/>
    </row>
    <row r="134" spans="1:39">
      <c r="B134" t="s">
        <v>414</v>
      </c>
      <c r="C134" s="7">
        <v>25</v>
      </c>
      <c r="D134" s="7">
        <v>1</v>
      </c>
      <c r="E134" s="7" t="s">
        <v>420</v>
      </c>
      <c r="F134" s="7">
        <v>2019</v>
      </c>
      <c r="G134" s="7" t="s">
        <v>421</v>
      </c>
      <c r="H134" s="7">
        <v>2016</v>
      </c>
      <c r="J134" s="7" t="s">
        <v>50</v>
      </c>
      <c r="K134" s="7" t="s">
        <v>422</v>
      </c>
      <c r="L134" s="21" t="s">
        <v>423</v>
      </c>
      <c r="M134" s="7" t="s">
        <v>424</v>
      </c>
      <c r="N134" s="7" t="s">
        <v>52</v>
      </c>
      <c r="P134" s="7" t="s">
        <v>425</v>
      </c>
      <c r="Q134" s="7">
        <v>1286</v>
      </c>
      <c r="R134" s="7" t="s">
        <v>426</v>
      </c>
      <c r="T134" t="s">
        <v>419</v>
      </c>
      <c r="U134">
        <v>75</v>
      </c>
      <c r="Y134" s="33">
        <f>167/75</f>
        <v>2.2266666666666666</v>
      </c>
      <c r="Z134" s="33">
        <f>(142-148)/75</f>
        <v>-0.08</v>
      </c>
      <c r="AA134" s="7" t="s">
        <v>68</v>
      </c>
    </row>
    <row r="135" spans="1:39">
      <c r="B135" t="s">
        <v>414</v>
      </c>
      <c r="C135" s="7">
        <v>25</v>
      </c>
      <c r="D135" s="7">
        <v>2</v>
      </c>
      <c r="E135" s="7" t="s">
        <v>420</v>
      </c>
      <c r="F135" s="7">
        <v>2019</v>
      </c>
      <c r="G135" s="7" t="s">
        <v>421</v>
      </c>
      <c r="H135" s="7">
        <v>2016</v>
      </c>
      <c r="J135" s="7" t="s">
        <v>50</v>
      </c>
      <c r="K135" s="7" t="s">
        <v>427</v>
      </c>
      <c r="L135" s="21" t="s">
        <v>428</v>
      </c>
      <c r="M135" s="7" t="s">
        <v>429</v>
      </c>
      <c r="N135" s="7" t="s">
        <v>52</v>
      </c>
      <c r="P135" s="7" t="s">
        <v>430</v>
      </c>
      <c r="Q135" s="7">
        <v>1670</v>
      </c>
      <c r="R135" s="7" t="s">
        <v>364</v>
      </c>
      <c r="T135" t="s">
        <v>419</v>
      </c>
      <c r="U135" s="7">
        <v>75</v>
      </c>
      <c r="Y135" s="33">
        <f>156/75</f>
        <v>2.08</v>
      </c>
      <c r="Z135" s="33">
        <f>(98-76)/75</f>
        <v>0.29333333333333333</v>
      </c>
      <c r="AA135" s="7" t="s">
        <v>68</v>
      </c>
    </row>
    <row r="136" spans="1:39">
      <c r="B136" t="s">
        <v>414</v>
      </c>
      <c r="C136" s="7">
        <v>25</v>
      </c>
      <c r="D136" s="7">
        <v>3</v>
      </c>
      <c r="E136" s="7" t="s">
        <v>420</v>
      </c>
      <c r="F136" s="7">
        <v>2019</v>
      </c>
      <c r="G136" s="7" t="s">
        <v>421</v>
      </c>
      <c r="H136" s="7">
        <v>2016</v>
      </c>
      <c r="J136" s="7" t="s">
        <v>50</v>
      </c>
      <c r="K136" s="7" t="s">
        <v>431</v>
      </c>
      <c r="L136" s="7" t="s">
        <v>432</v>
      </c>
      <c r="M136" s="7" t="s">
        <v>433</v>
      </c>
      <c r="N136" s="7" t="s">
        <v>434</v>
      </c>
      <c r="P136" s="7" t="s">
        <v>435</v>
      </c>
      <c r="Q136" s="7">
        <v>967</v>
      </c>
      <c r="R136" s="7" t="s">
        <v>364</v>
      </c>
      <c r="T136" t="s">
        <v>419</v>
      </c>
      <c r="U136" s="7">
        <v>75</v>
      </c>
      <c r="Y136" s="33">
        <f>94/75</f>
        <v>1.2533333333333334</v>
      </c>
      <c r="Z136" s="33">
        <f>(65-75)/75</f>
        <v>-0.13333333333333333</v>
      </c>
      <c r="AA136" s="7" t="s">
        <v>68</v>
      </c>
    </row>
    <row r="137" spans="1:39">
      <c r="B137" t="s">
        <v>414</v>
      </c>
      <c r="C137" s="7">
        <v>25</v>
      </c>
      <c r="D137" s="7">
        <v>4</v>
      </c>
      <c r="E137" s="7" t="s">
        <v>420</v>
      </c>
      <c r="F137" s="7">
        <v>2019</v>
      </c>
      <c r="G137" s="7" t="s">
        <v>421</v>
      </c>
      <c r="H137" s="7">
        <v>2016</v>
      </c>
      <c r="J137" s="7" t="s">
        <v>50</v>
      </c>
      <c r="K137" s="7" t="s">
        <v>436</v>
      </c>
      <c r="L137" s="7" t="s">
        <v>437</v>
      </c>
      <c r="M137" s="7" t="s">
        <v>438</v>
      </c>
      <c r="N137" s="7" t="s">
        <v>101</v>
      </c>
      <c r="P137" s="7" t="s">
        <v>439</v>
      </c>
      <c r="Q137" s="7">
        <v>1620</v>
      </c>
      <c r="R137" s="7" t="s">
        <v>364</v>
      </c>
      <c r="T137" t="s">
        <v>419</v>
      </c>
      <c r="U137" s="7">
        <v>75</v>
      </c>
      <c r="Y137" s="33">
        <f>113/75</f>
        <v>1.5066666666666666</v>
      </c>
      <c r="Z137" s="33">
        <f>(114-92)/75</f>
        <v>0.29333333333333333</v>
      </c>
      <c r="AA137" s="7" t="s">
        <v>68</v>
      </c>
    </row>
    <row r="138" spans="1:39">
      <c r="B138" t="s">
        <v>414</v>
      </c>
      <c r="C138" s="7">
        <v>25</v>
      </c>
      <c r="D138" s="7">
        <v>5</v>
      </c>
      <c r="E138" s="7" t="s">
        <v>420</v>
      </c>
      <c r="F138" s="7">
        <v>2019</v>
      </c>
      <c r="G138" s="7" t="s">
        <v>421</v>
      </c>
      <c r="H138" s="7">
        <v>2016</v>
      </c>
      <c r="J138" s="7" t="s">
        <v>50</v>
      </c>
      <c r="K138" s="7" t="s">
        <v>440</v>
      </c>
      <c r="L138" s="7" t="s">
        <v>441</v>
      </c>
      <c r="M138" s="7" t="s">
        <v>442</v>
      </c>
      <c r="N138" s="7" t="s">
        <v>101</v>
      </c>
      <c r="P138" s="7" t="s">
        <v>443</v>
      </c>
      <c r="Q138" s="7">
        <v>1136</v>
      </c>
      <c r="R138" s="7" t="s">
        <v>426</v>
      </c>
      <c r="T138" t="s">
        <v>419</v>
      </c>
      <c r="U138" s="7">
        <v>75</v>
      </c>
      <c r="Y138" s="33">
        <f>121/75</f>
        <v>1.6133333333333333</v>
      </c>
      <c r="Z138" s="33">
        <f>(161-116)/75</f>
        <v>0.6</v>
      </c>
      <c r="AA138" s="7" t="s">
        <v>68</v>
      </c>
    </row>
    <row r="139" spans="1:39">
      <c r="B139" t="s">
        <v>414</v>
      </c>
      <c r="C139" s="7">
        <v>25</v>
      </c>
      <c r="D139" s="7">
        <v>6</v>
      </c>
      <c r="E139" s="7" t="s">
        <v>420</v>
      </c>
      <c r="F139" s="7">
        <v>2019</v>
      </c>
      <c r="G139" s="7" t="s">
        <v>421</v>
      </c>
      <c r="H139" s="7">
        <v>2016</v>
      </c>
      <c r="J139" s="7" t="s">
        <v>50</v>
      </c>
      <c r="K139" s="7" t="s">
        <v>444</v>
      </c>
      <c r="L139" s="7" t="s">
        <v>445</v>
      </c>
      <c r="M139" s="7" t="s">
        <v>446</v>
      </c>
      <c r="N139" s="7" t="s">
        <v>101</v>
      </c>
      <c r="P139" s="7">
        <v>11</v>
      </c>
      <c r="Q139" s="7">
        <v>957</v>
      </c>
      <c r="R139" s="7" t="s">
        <v>426</v>
      </c>
      <c r="T139" t="s">
        <v>419</v>
      </c>
      <c r="U139" s="7">
        <v>75</v>
      </c>
      <c r="Y139" s="33">
        <f>163/75</f>
        <v>2.1733333333333333</v>
      </c>
      <c r="Z139" s="33">
        <f>(133-169)/75</f>
        <v>-0.48</v>
      </c>
      <c r="AA139" s="7" t="s">
        <v>68</v>
      </c>
    </row>
    <row r="140" spans="1:39">
      <c r="B140" t="s">
        <v>414</v>
      </c>
      <c r="C140" s="7">
        <v>26</v>
      </c>
      <c r="D140" s="7">
        <v>1</v>
      </c>
      <c r="E140" s="7" t="s">
        <v>447</v>
      </c>
      <c r="F140" s="7">
        <v>2020</v>
      </c>
      <c r="G140" s="7" t="s">
        <v>387</v>
      </c>
      <c r="H140" s="7">
        <v>2015</v>
      </c>
      <c r="J140" s="7" t="s">
        <v>50</v>
      </c>
      <c r="K140" s="7" t="s">
        <v>448</v>
      </c>
      <c r="L140" s="7" t="s">
        <v>449</v>
      </c>
      <c r="M140" s="7" t="s">
        <v>450</v>
      </c>
      <c r="N140" s="7" t="s">
        <v>52</v>
      </c>
      <c r="P140" s="7" t="s">
        <v>451</v>
      </c>
      <c r="Q140" s="7">
        <v>1043</v>
      </c>
      <c r="R140" s="7" t="s">
        <v>364</v>
      </c>
      <c r="T140" t="s">
        <v>419</v>
      </c>
      <c r="U140" s="7">
        <v>75</v>
      </c>
      <c r="Z140" s="33">
        <f>(88-91)/75</f>
        <v>-0.04</v>
      </c>
      <c r="AA140" s="7" t="s">
        <v>68</v>
      </c>
    </row>
    <row r="141" spans="1:39">
      <c r="B141" t="s">
        <v>414</v>
      </c>
      <c r="C141" s="7">
        <v>26</v>
      </c>
      <c r="D141" s="7">
        <v>2</v>
      </c>
      <c r="E141" s="7" t="s">
        <v>447</v>
      </c>
      <c r="F141" s="7">
        <v>2020</v>
      </c>
      <c r="G141" s="7" t="s">
        <v>387</v>
      </c>
      <c r="H141" s="7">
        <v>2015</v>
      </c>
      <c r="J141" s="7" t="s">
        <v>50</v>
      </c>
      <c r="K141" s="7" t="s">
        <v>452</v>
      </c>
      <c r="L141" s="7" t="s">
        <v>453</v>
      </c>
      <c r="M141" s="21">
        <v>118736</v>
      </c>
      <c r="N141" s="7" t="s">
        <v>52</v>
      </c>
      <c r="P141" s="7" t="s">
        <v>454</v>
      </c>
      <c r="Q141" s="7">
        <v>1228</v>
      </c>
      <c r="R141" s="7" t="s">
        <v>426</v>
      </c>
      <c r="T141" t="s">
        <v>419</v>
      </c>
      <c r="U141" s="7">
        <v>75</v>
      </c>
      <c r="Z141" s="33">
        <f>(194-217)/75</f>
        <v>-0.30666666666666664</v>
      </c>
      <c r="AA141" s="7" t="s">
        <v>68</v>
      </c>
    </row>
    <row r="142" spans="1:39">
      <c r="B142" t="s">
        <v>414</v>
      </c>
      <c r="C142" s="7">
        <v>26</v>
      </c>
      <c r="D142" s="7">
        <v>3</v>
      </c>
      <c r="E142" s="7" t="s">
        <v>447</v>
      </c>
      <c r="F142" s="7">
        <v>2020</v>
      </c>
      <c r="G142" s="7" t="s">
        <v>387</v>
      </c>
      <c r="H142" s="7">
        <v>2015</v>
      </c>
      <c r="J142" s="7" t="s">
        <v>50</v>
      </c>
      <c r="K142" s="7" t="s">
        <v>455</v>
      </c>
      <c r="L142" s="7" t="s">
        <v>456</v>
      </c>
      <c r="M142" s="7" t="s">
        <v>457</v>
      </c>
      <c r="N142" s="7" t="s">
        <v>52</v>
      </c>
      <c r="P142" s="7" t="s">
        <v>458</v>
      </c>
      <c r="Q142" s="7">
        <v>1337</v>
      </c>
      <c r="R142" s="7" t="s">
        <v>426</v>
      </c>
      <c r="T142" t="s">
        <v>419</v>
      </c>
      <c r="U142" s="7">
        <v>75</v>
      </c>
      <c r="Z142" s="33">
        <f>(92-129)/75</f>
        <v>-0.49333333333333335</v>
      </c>
      <c r="AA142" s="7" t="s">
        <v>68</v>
      </c>
    </row>
    <row r="143" spans="1:39">
      <c r="B143" t="s">
        <v>414</v>
      </c>
      <c r="C143" s="7">
        <v>26</v>
      </c>
      <c r="D143" s="7">
        <v>4</v>
      </c>
      <c r="E143" s="7" t="s">
        <v>447</v>
      </c>
      <c r="F143" s="7">
        <v>2020</v>
      </c>
      <c r="G143" s="7" t="s">
        <v>387</v>
      </c>
      <c r="H143" s="7">
        <v>2015</v>
      </c>
      <c r="J143" s="7" t="s">
        <v>50</v>
      </c>
      <c r="K143" s="7" t="s">
        <v>427</v>
      </c>
      <c r="L143" s="7" t="s">
        <v>459</v>
      </c>
      <c r="M143" s="7" t="s">
        <v>460</v>
      </c>
      <c r="N143" s="7" t="s">
        <v>52</v>
      </c>
      <c r="P143" s="7" t="s">
        <v>430</v>
      </c>
      <c r="Q143" s="7">
        <v>1521</v>
      </c>
      <c r="R143" s="7" t="s">
        <v>426</v>
      </c>
      <c r="T143" t="s">
        <v>419</v>
      </c>
      <c r="U143" s="7">
        <v>75</v>
      </c>
      <c r="Z143" s="33">
        <f>(82-75)/75</f>
        <v>9.3333333333333338E-2</v>
      </c>
      <c r="AA143" s="7" t="s">
        <v>68</v>
      </c>
    </row>
    <row r="144" spans="1:39">
      <c r="B144" t="s">
        <v>414</v>
      </c>
      <c r="C144" s="7">
        <v>26</v>
      </c>
      <c r="D144" s="7">
        <v>5</v>
      </c>
      <c r="E144" s="7" t="s">
        <v>447</v>
      </c>
      <c r="F144" s="7">
        <v>2020</v>
      </c>
      <c r="G144" s="7" t="s">
        <v>387</v>
      </c>
      <c r="H144" s="7">
        <v>2015</v>
      </c>
      <c r="J144" s="7" t="s">
        <v>50</v>
      </c>
      <c r="K144" s="7" t="s">
        <v>461</v>
      </c>
      <c r="L144" s="7" t="s">
        <v>462</v>
      </c>
      <c r="M144" s="7" t="s">
        <v>463</v>
      </c>
      <c r="N144" s="7" t="s">
        <v>52</v>
      </c>
      <c r="P144" s="7" t="s">
        <v>464</v>
      </c>
      <c r="Q144" s="7">
        <v>1559</v>
      </c>
      <c r="R144" s="7" t="s">
        <v>426</v>
      </c>
      <c r="T144" t="s">
        <v>419</v>
      </c>
      <c r="U144" s="7">
        <v>75</v>
      </c>
      <c r="Z144" s="33">
        <f>(41-87)/75</f>
        <v>-0.61333333333333329</v>
      </c>
      <c r="AA144" s="7" t="s">
        <v>68</v>
      </c>
    </row>
    <row r="145" spans="1:38">
      <c r="B145" t="s">
        <v>414</v>
      </c>
      <c r="C145" s="7">
        <v>27</v>
      </c>
      <c r="D145" s="7">
        <v>1</v>
      </c>
      <c r="E145" s="7" t="s">
        <v>465</v>
      </c>
      <c r="F145" s="7">
        <v>2018</v>
      </c>
      <c r="G145" s="7" t="s">
        <v>466</v>
      </c>
      <c r="H145" s="7">
        <v>2012</v>
      </c>
      <c r="J145" s="7" t="s">
        <v>50</v>
      </c>
      <c r="K145" s="7" t="s">
        <v>436</v>
      </c>
      <c r="N145" s="7" t="s">
        <v>101</v>
      </c>
      <c r="R145" s="7" t="s">
        <v>364</v>
      </c>
      <c r="T145" t="s">
        <v>419</v>
      </c>
      <c r="U145" s="7">
        <v>6</v>
      </c>
      <c r="Z145" s="33" t="s">
        <v>467</v>
      </c>
      <c r="AA145" s="7" t="s">
        <v>68</v>
      </c>
    </row>
    <row r="146" spans="1:38">
      <c r="B146" t="s">
        <v>414</v>
      </c>
      <c r="C146" s="7">
        <v>27</v>
      </c>
      <c r="D146" s="7">
        <v>2</v>
      </c>
      <c r="E146" s="7" t="s">
        <v>465</v>
      </c>
      <c r="F146" s="7">
        <v>2018</v>
      </c>
      <c r="G146" s="7" t="s">
        <v>466</v>
      </c>
      <c r="H146" s="7">
        <v>2012</v>
      </c>
      <c r="J146" s="7" t="s">
        <v>50</v>
      </c>
      <c r="K146" s="7" t="s">
        <v>436</v>
      </c>
      <c r="N146" s="7" t="s">
        <v>101</v>
      </c>
      <c r="R146" s="7" t="s">
        <v>364</v>
      </c>
      <c r="T146" t="s">
        <v>419</v>
      </c>
      <c r="U146" s="7">
        <v>15</v>
      </c>
      <c r="Z146" s="33" t="s">
        <v>468</v>
      </c>
      <c r="AA146" s="7" t="s">
        <v>68</v>
      </c>
    </row>
    <row r="147" spans="1:38">
      <c r="B147" t="s">
        <v>414</v>
      </c>
      <c r="C147" s="7">
        <v>27</v>
      </c>
      <c r="D147" s="7">
        <v>3</v>
      </c>
      <c r="E147" s="7" t="s">
        <v>465</v>
      </c>
      <c r="F147" s="7">
        <v>2018</v>
      </c>
      <c r="G147" s="7" t="s">
        <v>466</v>
      </c>
      <c r="H147" s="7">
        <v>2012</v>
      </c>
      <c r="J147" s="7" t="s">
        <v>50</v>
      </c>
      <c r="K147" s="7" t="s">
        <v>436</v>
      </c>
      <c r="N147" s="7" t="s">
        <v>101</v>
      </c>
      <c r="R147" s="7" t="s">
        <v>364</v>
      </c>
      <c r="T147" t="s">
        <v>419</v>
      </c>
      <c r="U147" s="7">
        <v>30</v>
      </c>
      <c r="Z147" s="33" t="s">
        <v>469</v>
      </c>
      <c r="AA147" s="7" t="s">
        <v>68</v>
      </c>
    </row>
    <row r="148" spans="1:38">
      <c r="B148" t="s">
        <v>414</v>
      </c>
      <c r="C148" s="7">
        <v>27</v>
      </c>
      <c r="D148" s="7">
        <v>4</v>
      </c>
      <c r="E148" s="7" t="s">
        <v>465</v>
      </c>
      <c r="F148" s="7">
        <v>2018</v>
      </c>
      <c r="G148" s="7" t="s">
        <v>466</v>
      </c>
      <c r="H148" s="7">
        <v>2012</v>
      </c>
      <c r="J148" s="7" t="s">
        <v>50</v>
      </c>
      <c r="K148" s="7" t="s">
        <v>436</v>
      </c>
      <c r="N148" s="7" t="s">
        <v>101</v>
      </c>
      <c r="R148" s="7" t="s">
        <v>364</v>
      </c>
      <c r="T148" t="s">
        <v>419</v>
      </c>
      <c r="U148" s="7">
        <v>42</v>
      </c>
      <c r="Z148" s="33" t="s">
        <v>470</v>
      </c>
      <c r="AA148" s="7" t="s">
        <v>68</v>
      </c>
    </row>
    <row r="149" spans="1:38">
      <c r="B149" t="s">
        <v>414</v>
      </c>
      <c r="C149" s="7">
        <v>27</v>
      </c>
      <c r="D149" s="7">
        <v>5</v>
      </c>
      <c r="E149" s="7" t="s">
        <v>465</v>
      </c>
      <c r="F149" s="7">
        <v>2018</v>
      </c>
      <c r="G149" s="7" t="s">
        <v>466</v>
      </c>
      <c r="H149" s="7">
        <v>2012</v>
      </c>
      <c r="J149" s="7" t="s">
        <v>50</v>
      </c>
      <c r="K149" s="7" t="s">
        <v>436</v>
      </c>
      <c r="N149" s="7" t="s">
        <v>101</v>
      </c>
      <c r="R149" s="7" t="s">
        <v>364</v>
      </c>
      <c r="T149" t="s">
        <v>419</v>
      </c>
      <c r="U149" s="7">
        <v>54</v>
      </c>
      <c r="Z149" s="33" t="s">
        <v>471</v>
      </c>
      <c r="AA149" s="7" t="s">
        <v>68</v>
      </c>
    </row>
    <row r="150" spans="1:38">
      <c r="B150" t="s">
        <v>414</v>
      </c>
      <c r="C150" s="7">
        <v>27</v>
      </c>
      <c r="D150" s="7">
        <v>6</v>
      </c>
      <c r="E150" s="7" t="s">
        <v>465</v>
      </c>
      <c r="F150" s="7">
        <v>2018</v>
      </c>
      <c r="G150" s="7" t="s">
        <v>466</v>
      </c>
      <c r="H150" s="7">
        <v>2012</v>
      </c>
      <c r="J150" s="7" t="s">
        <v>50</v>
      </c>
      <c r="K150" s="7" t="s">
        <v>436</v>
      </c>
      <c r="N150" s="7" t="s">
        <v>101</v>
      </c>
      <c r="R150" s="7" t="s">
        <v>364</v>
      </c>
      <c r="T150" t="s">
        <v>419</v>
      </c>
      <c r="U150" s="7">
        <v>75</v>
      </c>
      <c r="Z150" s="33" t="s">
        <v>472</v>
      </c>
      <c r="AA150" s="7" t="s">
        <v>68</v>
      </c>
    </row>
    <row r="151" spans="1:38">
      <c r="B151" t="s">
        <v>473</v>
      </c>
      <c r="C151" s="7">
        <v>27</v>
      </c>
      <c r="D151" s="7">
        <v>7</v>
      </c>
      <c r="E151" s="7" t="s">
        <v>465</v>
      </c>
      <c r="F151" s="7">
        <v>2018</v>
      </c>
      <c r="G151" s="7" t="s">
        <v>466</v>
      </c>
      <c r="H151" s="7">
        <v>2012</v>
      </c>
      <c r="J151" s="7" t="s">
        <v>50</v>
      </c>
      <c r="K151" s="7" t="s">
        <v>436</v>
      </c>
      <c r="N151" s="7" t="s">
        <v>101</v>
      </c>
      <c r="R151" s="7" t="s">
        <v>364</v>
      </c>
      <c r="T151" t="s">
        <v>419</v>
      </c>
      <c r="U151" s="7">
        <v>14</v>
      </c>
      <c r="Z151" s="33" t="s">
        <v>474</v>
      </c>
      <c r="AA151" s="7" t="s">
        <v>68</v>
      </c>
    </row>
    <row r="152" spans="1:38">
      <c r="B152" t="s">
        <v>473</v>
      </c>
      <c r="C152" s="7">
        <v>27</v>
      </c>
      <c r="D152" s="7">
        <v>8</v>
      </c>
      <c r="E152" s="7" t="s">
        <v>465</v>
      </c>
      <c r="F152" s="7">
        <v>2018</v>
      </c>
      <c r="G152" s="7" t="s">
        <v>466</v>
      </c>
      <c r="H152" s="7">
        <v>2012</v>
      </c>
      <c r="J152" s="7" t="s">
        <v>50</v>
      </c>
      <c r="K152" s="7" t="s">
        <v>436</v>
      </c>
      <c r="N152" s="7" t="s">
        <v>101</v>
      </c>
      <c r="R152" s="7" t="s">
        <v>364</v>
      </c>
      <c r="T152" t="s">
        <v>419</v>
      </c>
      <c r="U152" s="7">
        <v>50</v>
      </c>
      <c r="Z152" s="33" t="s">
        <v>475</v>
      </c>
      <c r="AA152" s="7" t="s">
        <v>68</v>
      </c>
    </row>
    <row r="153" spans="1:38">
      <c r="B153" t="s">
        <v>473</v>
      </c>
      <c r="C153" s="7">
        <v>27</v>
      </c>
      <c r="D153" s="7">
        <v>9</v>
      </c>
      <c r="E153" s="7" t="s">
        <v>465</v>
      </c>
      <c r="F153" s="7">
        <v>2018</v>
      </c>
      <c r="G153" s="7" t="s">
        <v>466</v>
      </c>
      <c r="H153" s="7">
        <v>2012</v>
      </c>
      <c r="J153" s="7" t="s">
        <v>50</v>
      </c>
      <c r="K153" s="7" t="s">
        <v>436</v>
      </c>
      <c r="N153" s="7" t="s">
        <v>101</v>
      </c>
      <c r="R153" s="7" t="s">
        <v>364</v>
      </c>
      <c r="T153" t="s">
        <v>419</v>
      </c>
      <c r="U153" s="7">
        <v>75</v>
      </c>
      <c r="Z153" s="33" t="s">
        <v>476</v>
      </c>
      <c r="AA153" s="7" t="s">
        <v>68</v>
      </c>
    </row>
    <row r="154" spans="1:38">
      <c r="B154" t="s">
        <v>473</v>
      </c>
      <c r="C154" s="7">
        <v>28</v>
      </c>
      <c r="D154" s="7">
        <v>1</v>
      </c>
      <c r="E154" s="7" t="s">
        <v>477</v>
      </c>
      <c r="F154" s="7">
        <v>2021</v>
      </c>
      <c r="G154" s="7" t="s">
        <v>478</v>
      </c>
      <c r="H154" s="7">
        <v>2019</v>
      </c>
      <c r="J154" s="7" t="s">
        <v>58</v>
      </c>
      <c r="K154" s="68" t="s">
        <v>479</v>
      </c>
      <c r="L154" s="7" t="s">
        <v>480</v>
      </c>
      <c r="M154" s="7" t="s">
        <v>481</v>
      </c>
      <c r="N154" s="7" t="s">
        <v>101</v>
      </c>
      <c r="O154" s="7" t="s">
        <v>482</v>
      </c>
      <c r="R154" s="7" t="s">
        <v>483</v>
      </c>
      <c r="T154" t="s">
        <v>419</v>
      </c>
      <c r="U154" s="7">
        <v>63</v>
      </c>
      <c r="Z154" s="33">
        <f>(46-23)/63</f>
        <v>0.36507936507936506</v>
      </c>
      <c r="AA154" s="7" t="s">
        <v>68</v>
      </c>
    </row>
    <row r="155" spans="1:38">
      <c r="B155" t="s">
        <v>473</v>
      </c>
      <c r="C155" s="7">
        <v>28</v>
      </c>
      <c r="D155" s="7">
        <v>2</v>
      </c>
      <c r="E155" s="7" t="s">
        <v>477</v>
      </c>
      <c r="F155" s="7">
        <v>2021</v>
      </c>
      <c r="G155" s="7" t="s">
        <v>478</v>
      </c>
      <c r="H155" s="7">
        <v>2019</v>
      </c>
      <c r="J155" s="7" t="s">
        <v>58</v>
      </c>
      <c r="K155" s="14" t="s">
        <v>484</v>
      </c>
      <c r="L155" s="7" t="s">
        <v>485</v>
      </c>
      <c r="M155" s="7" t="s">
        <v>486</v>
      </c>
      <c r="N155" s="7" t="s">
        <v>101</v>
      </c>
      <c r="O155" s="7" t="s">
        <v>482</v>
      </c>
      <c r="R155" s="7" t="s">
        <v>483</v>
      </c>
      <c r="T155" t="s">
        <v>419</v>
      </c>
      <c r="U155" s="7">
        <v>63</v>
      </c>
      <c r="Z155" s="33">
        <f>(46-24)/63</f>
        <v>0.34920634920634919</v>
      </c>
      <c r="AA155" s="7" t="s">
        <v>68</v>
      </c>
    </row>
    <row r="156" spans="1:38">
      <c r="B156" t="s">
        <v>473</v>
      </c>
      <c r="C156" s="7">
        <v>28</v>
      </c>
      <c r="D156" s="7">
        <v>3</v>
      </c>
      <c r="E156" s="7" t="s">
        <v>477</v>
      </c>
      <c r="F156" s="7">
        <v>2021</v>
      </c>
      <c r="G156" s="7" t="s">
        <v>478</v>
      </c>
      <c r="H156" s="7">
        <v>2019</v>
      </c>
      <c r="J156" s="7" t="s">
        <v>58</v>
      </c>
      <c r="K156" s="14" t="s">
        <v>487</v>
      </c>
      <c r="L156" s="7" t="s">
        <v>488</v>
      </c>
      <c r="M156" s="7" t="s">
        <v>489</v>
      </c>
      <c r="N156" s="7" t="s">
        <v>101</v>
      </c>
      <c r="O156" s="7" t="s">
        <v>482</v>
      </c>
      <c r="R156" s="7" t="s">
        <v>490</v>
      </c>
      <c r="T156" t="s">
        <v>419</v>
      </c>
      <c r="U156" s="7">
        <v>63</v>
      </c>
      <c r="Z156" s="33">
        <f>(34-25)/63</f>
        <v>0.14285714285714285</v>
      </c>
      <c r="AA156" s="7" t="s">
        <v>68</v>
      </c>
    </row>
    <row r="157" spans="1:38">
      <c r="B157" t="s">
        <v>473</v>
      </c>
      <c r="C157" s="7">
        <v>29</v>
      </c>
      <c r="D157" s="7">
        <v>1</v>
      </c>
      <c r="E157" s="7" t="s">
        <v>491</v>
      </c>
      <c r="F157" s="7">
        <v>2022</v>
      </c>
      <c r="G157" s="7" t="s">
        <v>492</v>
      </c>
      <c r="H157" s="7">
        <v>2020</v>
      </c>
      <c r="J157" s="7" t="s">
        <v>493</v>
      </c>
      <c r="K157" s="7" t="s">
        <v>494</v>
      </c>
      <c r="L157" s="7" t="s">
        <v>495</v>
      </c>
      <c r="M157" s="7" t="s">
        <v>496</v>
      </c>
      <c r="N157" s="7" t="s">
        <v>101</v>
      </c>
      <c r="O157" s="7" t="s">
        <v>497</v>
      </c>
      <c r="P157" s="7">
        <v>16</v>
      </c>
      <c r="Q157" s="7">
        <v>517</v>
      </c>
      <c r="R157" s="7" t="s">
        <v>498</v>
      </c>
      <c r="T157" t="s">
        <v>419</v>
      </c>
      <c r="U157" s="7">
        <v>60</v>
      </c>
      <c r="Z157" s="33">
        <f>(50-37)/60</f>
        <v>0.21666666666666667</v>
      </c>
      <c r="AA157" s="7" t="s">
        <v>68</v>
      </c>
    </row>
    <row r="158" spans="1:38" s="37" customFormat="1" ht="15.75" customHeight="1">
      <c r="A158" s="36" t="s">
        <v>499</v>
      </c>
      <c r="B158" s="37" t="s">
        <v>500</v>
      </c>
      <c r="C158" s="38">
        <v>30</v>
      </c>
      <c r="D158" s="38">
        <v>1</v>
      </c>
      <c r="E158" s="38" t="s">
        <v>501</v>
      </c>
      <c r="F158" s="38">
        <v>2018</v>
      </c>
      <c r="G158" s="38" t="s">
        <v>502</v>
      </c>
      <c r="H158" s="38"/>
      <c r="I158" s="38"/>
      <c r="J158" s="38" t="s">
        <v>58</v>
      </c>
      <c r="K158" s="38"/>
      <c r="L158" s="38"/>
      <c r="M158" s="38"/>
      <c r="N158" s="38"/>
      <c r="O158" s="38" t="s">
        <v>503</v>
      </c>
      <c r="P158" s="38"/>
      <c r="Q158" s="38"/>
      <c r="R158" s="38"/>
      <c r="S158" s="38"/>
      <c r="Y158" s="38" t="s">
        <v>504</v>
      </c>
      <c r="AA158" s="38"/>
      <c r="AH158" s="38"/>
      <c r="AI158" s="38"/>
      <c r="AJ158" s="38"/>
      <c r="AK158" s="38"/>
      <c r="AL158" s="38"/>
    </row>
    <row r="159" spans="1:38" ht="15.75" customHeight="1">
      <c r="B159" t="s">
        <v>505</v>
      </c>
      <c r="C159" s="7">
        <v>31</v>
      </c>
      <c r="D159" s="7">
        <v>1</v>
      </c>
      <c r="E159" s="7" t="s">
        <v>501</v>
      </c>
      <c r="F159" s="7">
        <v>2019</v>
      </c>
      <c r="G159" s="7" t="s">
        <v>506</v>
      </c>
      <c r="J159" s="7" t="s">
        <v>507</v>
      </c>
      <c r="O159" s="7" t="s">
        <v>508</v>
      </c>
      <c r="Y159" s="7" t="s">
        <v>509</v>
      </c>
    </row>
    <row r="160" spans="1:38" ht="15.75" customHeight="1">
      <c r="B160" t="s">
        <v>510</v>
      </c>
      <c r="C160" s="7">
        <v>31</v>
      </c>
      <c r="D160" s="7">
        <v>2</v>
      </c>
      <c r="E160" s="7" t="s">
        <v>501</v>
      </c>
      <c r="F160" s="7">
        <v>2019</v>
      </c>
      <c r="G160" s="7" t="s">
        <v>506</v>
      </c>
      <c r="J160" s="7" t="s">
        <v>507</v>
      </c>
      <c r="O160" s="7" t="s">
        <v>508</v>
      </c>
      <c r="Y160" s="7" t="s">
        <v>511</v>
      </c>
    </row>
    <row r="161" spans="2:27" ht="15.75" customHeight="1">
      <c r="B161" t="s">
        <v>512</v>
      </c>
      <c r="C161" s="7">
        <v>31</v>
      </c>
      <c r="D161" s="7">
        <v>3</v>
      </c>
      <c r="E161" s="7" t="s">
        <v>501</v>
      </c>
      <c r="F161" s="7">
        <v>2019</v>
      </c>
      <c r="G161" s="7" t="s">
        <v>506</v>
      </c>
      <c r="J161" s="7" t="s">
        <v>507</v>
      </c>
      <c r="O161" s="7" t="s">
        <v>513</v>
      </c>
      <c r="Y161" s="7" t="s">
        <v>514</v>
      </c>
    </row>
    <row r="162" spans="2:27" ht="15.75" customHeight="1">
      <c r="B162" t="s">
        <v>515</v>
      </c>
      <c r="C162" s="7">
        <v>31</v>
      </c>
      <c r="D162" s="7">
        <v>4</v>
      </c>
      <c r="E162" s="7" t="s">
        <v>501</v>
      </c>
      <c r="F162" s="7">
        <v>2019</v>
      </c>
      <c r="G162" s="7" t="s">
        <v>506</v>
      </c>
      <c r="J162" s="7" t="s">
        <v>507</v>
      </c>
      <c r="O162" s="7" t="s">
        <v>516</v>
      </c>
      <c r="Y162" s="7" t="s">
        <v>517</v>
      </c>
    </row>
    <row r="163" spans="2:27" ht="15.75" customHeight="1">
      <c r="B163" t="s">
        <v>518</v>
      </c>
      <c r="C163" s="7">
        <v>31</v>
      </c>
      <c r="D163" s="7">
        <v>5</v>
      </c>
      <c r="E163" s="7" t="s">
        <v>501</v>
      </c>
      <c r="F163" s="7">
        <v>2019</v>
      </c>
      <c r="G163" s="7" t="s">
        <v>506</v>
      </c>
      <c r="J163" s="7" t="s">
        <v>507</v>
      </c>
      <c r="O163" s="7" t="s">
        <v>519</v>
      </c>
      <c r="Y163" s="7" t="s">
        <v>520</v>
      </c>
    </row>
    <row r="164" spans="2:27" ht="15.75" customHeight="1">
      <c r="B164" t="s">
        <v>518</v>
      </c>
      <c r="C164" s="7">
        <v>31</v>
      </c>
      <c r="D164" s="7">
        <v>6</v>
      </c>
      <c r="E164" s="7" t="s">
        <v>501</v>
      </c>
      <c r="F164" s="7">
        <v>2019</v>
      </c>
      <c r="G164" s="7" t="s">
        <v>506</v>
      </c>
      <c r="J164" s="7" t="s">
        <v>507</v>
      </c>
      <c r="O164" s="7" t="s">
        <v>521</v>
      </c>
      <c r="Y164" s="7" t="s">
        <v>522</v>
      </c>
    </row>
    <row r="165" spans="2:27" ht="15.75" customHeight="1">
      <c r="B165" t="s">
        <v>523</v>
      </c>
      <c r="C165" s="7">
        <v>31</v>
      </c>
      <c r="D165" s="7">
        <v>7</v>
      </c>
      <c r="E165" s="7" t="s">
        <v>501</v>
      </c>
      <c r="F165" s="7">
        <v>2019</v>
      </c>
      <c r="G165" s="7" t="s">
        <v>506</v>
      </c>
      <c r="J165" s="7" t="s">
        <v>507</v>
      </c>
      <c r="O165" s="7" t="s">
        <v>524</v>
      </c>
      <c r="Y165" s="7" t="s">
        <v>525</v>
      </c>
    </row>
    <row r="166" spans="2:27" ht="15.75" customHeight="1">
      <c r="B166" t="s">
        <v>526</v>
      </c>
      <c r="C166" s="7">
        <v>31</v>
      </c>
      <c r="D166" s="7">
        <v>8</v>
      </c>
      <c r="E166" s="7" t="s">
        <v>501</v>
      </c>
      <c r="F166" s="7">
        <v>2019</v>
      </c>
      <c r="G166" s="7" t="s">
        <v>506</v>
      </c>
      <c r="J166" s="7" t="s">
        <v>507</v>
      </c>
      <c r="O166" s="7" t="s">
        <v>527</v>
      </c>
      <c r="Y166" s="7" t="s">
        <v>528</v>
      </c>
    </row>
    <row r="167" spans="2:27" ht="15.75" customHeight="1">
      <c r="B167" t="s">
        <v>529</v>
      </c>
      <c r="C167" s="7">
        <v>31</v>
      </c>
      <c r="D167" s="7">
        <v>9</v>
      </c>
      <c r="E167" s="7" t="s">
        <v>501</v>
      </c>
      <c r="F167" s="7">
        <v>2019</v>
      </c>
      <c r="G167" s="7" t="s">
        <v>506</v>
      </c>
      <c r="J167" s="7" t="s">
        <v>507</v>
      </c>
      <c r="O167" s="7" t="s">
        <v>519</v>
      </c>
      <c r="Y167" s="7" t="s">
        <v>530</v>
      </c>
    </row>
    <row r="168" spans="2:27" ht="15.75" customHeight="1">
      <c r="B168" t="s">
        <v>531</v>
      </c>
      <c r="C168" s="7">
        <v>31</v>
      </c>
      <c r="D168" s="7">
        <v>10</v>
      </c>
      <c r="E168" s="7" t="s">
        <v>501</v>
      </c>
      <c r="F168" s="7">
        <v>2019</v>
      </c>
      <c r="G168" s="7" t="s">
        <v>506</v>
      </c>
      <c r="J168" s="7" t="s">
        <v>507</v>
      </c>
      <c r="O168" s="7" t="s">
        <v>524</v>
      </c>
      <c r="Y168" s="7" t="s">
        <v>532</v>
      </c>
    </row>
    <row r="169" spans="2:27" ht="15.75" customHeight="1">
      <c r="B169" t="s">
        <v>533</v>
      </c>
      <c r="C169" s="7">
        <v>32</v>
      </c>
      <c r="D169" s="7">
        <v>1</v>
      </c>
      <c r="E169" s="7" t="s">
        <v>534</v>
      </c>
      <c r="F169" s="7">
        <v>2014</v>
      </c>
      <c r="G169" s="7" t="s">
        <v>535</v>
      </c>
      <c r="J169" s="7" t="s">
        <v>50</v>
      </c>
      <c r="O169" s="7" t="s">
        <v>536</v>
      </c>
      <c r="Y169" s="7" t="s">
        <v>85</v>
      </c>
    </row>
    <row r="170" spans="2:27" ht="15.75" customHeight="1">
      <c r="B170" t="s">
        <v>537</v>
      </c>
      <c r="C170" s="7">
        <v>32</v>
      </c>
      <c r="D170" s="7">
        <v>2</v>
      </c>
      <c r="E170" s="7" t="s">
        <v>534</v>
      </c>
      <c r="F170" s="7">
        <v>2014</v>
      </c>
      <c r="G170" s="7" t="s">
        <v>535</v>
      </c>
      <c r="J170" s="7" t="s">
        <v>50</v>
      </c>
      <c r="O170" s="7" t="s">
        <v>538</v>
      </c>
      <c r="Y170" s="7" t="s">
        <v>539</v>
      </c>
    </row>
    <row r="171" spans="2:27" ht="15.75" customHeight="1">
      <c r="B171" t="s">
        <v>540</v>
      </c>
      <c r="C171" s="7">
        <v>32</v>
      </c>
      <c r="D171" s="7">
        <v>3</v>
      </c>
      <c r="E171" s="7" t="s">
        <v>534</v>
      </c>
      <c r="F171" s="7">
        <v>2014</v>
      </c>
      <c r="G171" s="7" t="s">
        <v>535</v>
      </c>
      <c r="J171" s="7" t="s">
        <v>50</v>
      </c>
      <c r="O171" s="7" t="s">
        <v>538</v>
      </c>
      <c r="Y171" s="7" t="s">
        <v>541</v>
      </c>
    </row>
    <row r="172" spans="2:27" ht="15.75" customHeight="1">
      <c r="B172" t="s">
        <v>542</v>
      </c>
      <c r="C172" s="7">
        <v>33</v>
      </c>
      <c r="D172" s="7">
        <v>1</v>
      </c>
      <c r="E172" s="7" t="s">
        <v>543</v>
      </c>
      <c r="F172" s="7">
        <v>2014</v>
      </c>
      <c r="G172" s="7" t="s">
        <v>502</v>
      </c>
      <c r="J172" s="7" t="s">
        <v>58</v>
      </c>
      <c r="O172" s="7" t="s">
        <v>544</v>
      </c>
      <c r="Y172" s="7" t="s">
        <v>514</v>
      </c>
    </row>
    <row r="173" spans="2:27">
      <c r="B173" t="s">
        <v>533</v>
      </c>
      <c r="C173" s="7">
        <v>34</v>
      </c>
      <c r="D173" s="7">
        <v>1</v>
      </c>
      <c r="E173" s="7" t="s">
        <v>545</v>
      </c>
      <c r="F173" s="7">
        <v>2016</v>
      </c>
      <c r="G173" s="7" t="s">
        <v>546</v>
      </c>
      <c r="J173" s="7" t="s">
        <v>58</v>
      </c>
      <c r="O173" s="7" t="s">
        <v>547</v>
      </c>
      <c r="Y173" s="7" t="s">
        <v>187</v>
      </c>
    </row>
    <row r="174" spans="2:27" ht="15.75" customHeight="1">
      <c r="B174" t="s">
        <v>548</v>
      </c>
      <c r="C174" s="7">
        <v>35</v>
      </c>
      <c r="D174" s="7">
        <v>1</v>
      </c>
      <c r="E174" s="7" t="s">
        <v>549</v>
      </c>
      <c r="F174" s="7">
        <v>2012</v>
      </c>
      <c r="G174" s="7" t="s">
        <v>550</v>
      </c>
      <c r="J174" s="7" t="s">
        <v>50</v>
      </c>
      <c r="O174" s="7" t="s">
        <v>551</v>
      </c>
      <c r="R174" s="7" t="s">
        <v>552</v>
      </c>
      <c r="Z174" t="s">
        <v>123</v>
      </c>
      <c r="AA174" s="7" t="s">
        <v>372</v>
      </c>
    </row>
    <row r="175" spans="2:27" ht="15.75" customHeight="1">
      <c r="B175" t="s">
        <v>553</v>
      </c>
      <c r="C175" s="7">
        <v>35</v>
      </c>
      <c r="D175" s="7">
        <v>2</v>
      </c>
      <c r="E175" s="7" t="s">
        <v>549</v>
      </c>
      <c r="F175" s="7">
        <v>2012</v>
      </c>
      <c r="G175" s="7" t="s">
        <v>550</v>
      </c>
      <c r="J175" s="7" t="s">
        <v>50</v>
      </c>
      <c r="O175" s="7" t="s">
        <v>551</v>
      </c>
      <c r="R175" s="7" t="s">
        <v>552</v>
      </c>
      <c r="Z175" t="s">
        <v>554</v>
      </c>
      <c r="AA175" s="7" t="s">
        <v>372</v>
      </c>
    </row>
    <row r="176" spans="2:27" ht="15.75" customHeight="1">
      <c r="B176" s="7" t="s">
        <v>555</v>
      </c>
      <c r="C176" s="7">
        <v>36</v>
      </c>
      <c r="D176" s="7">
        <v>1</v>
      </c>
      <c r="E176" s="7" t="s">
        <v>556</v>
      </c>
      <c r="F176" s="7">
        <v>2017</v>
      </c>
      <c r="G176" s="7" t="s">
        <v>557</v>
      </c>
      <c r="J176" s="7" t="s">
        <v>558</v>
      </c>
      <c r="K176" s="7" t="s">
        <v>559</v>
      </c>
      <c r="L176" s="7" t="s">
        <v>560</v>
      </c>
      <c r="M176" s="7" t="s">
        <v>561</v>
      </c>
      <c r="O176" s="7" t="s">
        <v>555</v>
      </c>
      <c r="P176" s="7">
        <v>11</v>
      </c>
      <c r="Q176" s="7">
        <v>595</v>
      </c>
      <c r="R176" s="7" t="s">
        <v>562</v>
      </c>
      <c r="U176">
        <v>6</v>
      </c>
      <c r="Z176">
        <v>0.28999999999999998</v>
      </c>
      <c r="AA176" s="7" t="s">
        <v>68</v>
      </c>
    </row>
    <row r="177" spans="1:39" ht="15.75" customHeight="1">
      <c r="B177" s="7" t="s">
        <v>555</v>
      </c>
      <c r="C177" s="7">
        <v>36</v>
      </c>
      <c r="D177" s="7">
        <v>2</v>
      </c>
      <c r="E177" s="7" t="s">
        <v>556</v>
      </c>
      <c r="F177" s="7">
        <v>2017</v>
      </c>
      <c r="G177" s="7" t="s">
        <v>557</v>
      </c>
      <c r="J177" s="7" t="s">
        <v>558</v>
      </c>
      <c r="K177" s="7" t="s">
        <v>563</v>
      </c>
      <c r="L177" s="7" t="s">
        <v>564</v>
      </c>
      <c r="M177" s="7" t="s">
        <v>565</v>
      </c>
      <c r="O177" s="7" t="s">
        <v>555</v>
      </c>
      <c r="P177" s="7" t="s">
        <v>566</v>
      </c>
      <c r="Q177" s="7">
        <v>810</v>
      </c>
      <c r="R177" s="7" t="s">
        <v>562</v>
      </c>
      <c r="U177">
        <v>6</v>
      </c>
      <c r="Z177" t="s">
        <v>156</v>
      </c>
      <c r="AA177" s="7" t="s">
        <v>68</v>
      </c>
    </row>
    <row r="178" spans="1:39" ht="15.75" customHeight="1">
      <c r="B178" s="7" t="s">
        <v>567</v>
      </c>
      <c r="C178" s="7">
        <v>36</v>
      </c>
      <c r="D178" s="7">
        <v>3</v>
      </c>
      <c r="E178" s="7" t="s">
        <v>556</v>
      </c>
      <c r="F178" s="7">
        <v>2017</v>
      </c>
      <c r="G178" s="7" t="s">
        <v>557</v>
      </c>
      <c r="J178" s="7" t="s">
        <v>558</v>
      </c>
      <c r="K178" s="7" t="s">
        <v>568</v>
      </c>
      <c r="L178" s="7" t="s">
        <v>569</v>
      </c>
      <c r="M178" s="7" t="s">
        <v>570</v>
      </c>
      <c r="O178" s="7" t="s">
        <v>567</v>
      </c>
      <c r="P178" s="7" t="s">
        <v>571</v>
      </c>
      <c r="Q178" s="7">
        <v>850</v>
      </c>
      <c r="R178" s="7" t="s">
        <v>562</v>
      </c>
      <c r="U178">
        <v>41</v>
      </c>
      <c r="Z178">
        <v>0.46</v>
      </c>
      <c r="AA178" s="7" t="s">
        <v>372</v>
      </c>
    </row>
    <row r="179" spans="1:39" ht="15.75" customHeight="1">
      <c r="B179" s="7" t="s">
        <v>555</v>
      </c>
      <c r="C179" s="7">
        <v>36</v>
      </c>
      <c r="D179" s="7">
        <v>4</v>
      </c>
      <c r="E179" s="7" t="s">
        <v>556</v>
      </c>
      <c r="F179" s="7">
        <v>2017</v>
      </c>
      <c r="G179" s="7" t="s">
        <v>557</v>
      </c>
      <c r="J179" s="7" t="s">
        <v>558</v>
      </c>
      <c r="K179" s="74" t="s">
        <v>572</v>
      </c>
      <c r="L179" s="7" t="s">
        <v>573</v>
      </c>
      <c r="M179" s="7" t="s">
        <v>574</v>
      </c>
      <c r="O179" s="7" t="s">
        <v>555</v>
      </c>
      <c r="P179" s="7" t="s">
        <v>575</v>
      </c>
      <c r="Q179" s="7">
        <v>1037</v>
      </c>
      <c r="R179" s="7" t="s">
        <v>576</v>
      </c>
      <c r="U179">
        <v>18</v>
      </c>
      <c r="Z179">
        <v>0.11</v>
      </c>
      <c r="AA179" s="7" t="s">
        <v>68</v>
      </c>
    </row>
    <row r="180" spans="1:39" ht="15.75" customHeight="1">
      <c r="B180" s="7" t="s">
        <v>555</v>
      </c>
      <c r="C180" s="7">
        <v>36</v>
      </c>
      <c r="D180" s="7">
        <v>5</v>
      </c>
      <c r="E180" s="7" t="s">
        <v>556</v>
      </c>
      <c r="F180" s="7">
        <v>2017</v>
      </c>
      <c r="G180" s="7" t="s">
        <v>557</v>
      </c>
      <c r="J180" s="7" t="s">
        <v>558</v>
      </c>
      <c r="K180" s="7" t="s">
        <v>577</v>
      </c>
      <c r="L180" s="7" t="s">
        <v>578</v>
      </c>
      <c r="M180" s="7" t="s">
        <v>579</v>
      </c>
      <c r="O180" s="7" t="s">
        <v>555</v>
      </c>
      <c r="P180" s="7">
        <v>15.4</v>
      </c>
      <c r="Q180" s="7">
        <v>873</v>
      </c>
      <c r="R180" s="7" t="s">
        <v>576</v>
      </c>
      <c r="U180">
        <v>18</v>
      </c>
      <c r="Z180">
        <v>0.25</v>
      </c>
      <c r="AA180" s="7" t="s">
        <v>68</v>
      </c>
    </row>
    <row r="181" spans="1:39" ht="15.75" customHeight="1">
      <c r="A181" s="34" t="s">
        <v>580</v>
      </c>
      <c r="B181" t="s">
        <v>581</v>
      </c>
      <c r="C181" s="7">
        <v>37</v>
      </c>
      <c r="D181" s="7">
        <v>1</v>
      </c>
      <c r="E181" s="7" t="s">
        <v>582</v>
      </c>
      <c r="F181" s="7">
        <v>2018</v>
      </c>
      <c r="G181" s="7" t="s">
        <v>478</v>
      </c>
      <c r="I181" s="7" t="s">
        <v>49</v>
      </c>
      <c r="J181" s="7" t="s">
        <v>58</v>
      </c>
      <c r="K181" s="7" t="s">
        <v>583</v>
      </c>
      <c r="L181" s="7" t="s">
        <v>584</v>
      </c>
      <c r="M181" s="7" t="s">
        <v>585</v>
      </c>
      <c r="N181" s="7" t="s">
        <v>586</v>
      </c>
      <c r="O181" s="7" t="s">
        <v>587</v>
      </c>
      <c r="S181" s="7">
        <v>6</v>
      </c>
      <c r="T181" t="s">
        <v>588</v>
      </c>
      <c r="Y181">
        <v>2</v>
      </c>
    </row>
    <row r="182" spans="1:39" ht="15.75" customHeight="1">
      <c r="A182" s="9" t="s">
        <v>6</v>
      </c>
      <c r="B182" s="9" t="s">
        <v>7</v>
      </c>
      <c r="C182" s="10" t="s">
        <v>8</v>
      </c>
      <c r="D182" s="18" t="s">
        <v>9</v>
      </c>
      <c r="E182" s="19" t="s">
        <v>10</v>
      </c>
      <c r="F182" s="18" t="s">
        <v>11</v>
      </c>
      <c r="G182" s="18" t="s">
        <v>12</v>
      </c>
      <c r="H182" s="10" t="s">
        <v>13</v>
      </c>
      <c r="I182" s="10" t="s">
        <v>14</v>
      </c>
      <c r="J182" s="11" t="s">
        <v>15</v>
      </c>
      <c r="K182" s="11" t="s">
        <v>16</v>
      </c>
      <c r="L182" s="11" t="s">
        <v>17</v>
      </c>
      <c r="M182" s="11" t="s">
        <v>18</v>
      </c>
      <c r="N182" s="11" t="s">
        <v>19</v>
      </c>
      <c r="O182" s="11" t="s">
        <v>20</v>
      </c>
      <c r="P182" s="11" t="s">
        <v>21</v>
      </c>
      <c r="Q182" s="11" t="s">
        <v>22</v>
      </c>
      <c r="R182" s="11" t="s">
        <v>23</v>
      </c>
      <c r="S182" s="11" t="s">
        <v>24</v>
      </c>
      <c r="T182" s="4" t="s">
        <v>25</v>
      </c>
      <c r="U182" s="11" t="s">
        <v>26</v>
      </c>
      <c r="V182" s="11" t="s">
        <v>27</v>
      </c>
      <c r="W182" s="10" t="s">
        <v>28</v>
      </c>
      <c r="X182" s="10" t="s">
        <v>29</v>
      </c>
      <c r="Y182" s="4" t="s">
        <v>30</v>
      </c>
      <c r="Z182" s="5" t="s">
        <v>31</v>
      </c>
      <c r="AA182" s="6" t="s">
        <v>32</v>
      </c>
      <c r="AB182" s="6" t="s">
        <v>33</v>
      </c>
      <c r="AC182" s="6" t="s">
        <v>34</v>
      </c>
      <c r="AD182" s="6" t="s">
        <v>35</v>
      </c>
      <c r="AE182" s="6" t="s">
        <v>36</v>
      </c>
      <c r="AF182" s="6" t="s">
        <v>37</v>
      </c>
      <c r="AG182" s="5" t="s">
        <v>38</v>
      </c>
      <c r="AH182" s="6" t="s">
        <v>39</v>
      </c>
      <c r="AI182" s="6" t="s">
        <v>40</v>
      </c>
      <c r="AJ182" s="6" t="s">
        <v>41</v>
      </c>
      <c r="AK182" s="6" t="s">
        <v>42</v>
      </c>
      <c r="AL182" s="6" t="s">
        <v>43</v>
      </c>
      <c r="AM182" t="s">
        <v>44</v>
      </c>
    </row>
    <row r="183" spans="1:39" ht="15.75" customHeight="1">
      <c r="A183" s="3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EAAE-C656-BB4F-A05A-121313616FFA}">
  <dimension ref="A2:AM160"/>
  <sheetViews>
    <sheetView tabSelected="1" zoomScale="135" zoomScaleNormal="135" workbookViewId="0">
      <pane ySplit="3" topLeftCell="A60" activePane="bottomLeft" state="frozen"/>
      <selection pane="bottomLeft" activeCell="A3" sqref="A3:XFD3"/>
    </sheetView>
  </sheetViews>
  <sheetFormatPr defaultColWidth="11" defaultRowHeight="15.75" customHeight="1"/>
  <cols>
    <col min="1" max="1" width="45" customWidth="1"/>
    <col min="2" max="2" width="27.5" customWidth="1"/>
    <col min="4" max="4" width="16.875" customWidth="1"/>
    <col min="5" max="5" width="14" customWidth="1"/>
    <col min="14" max="14" width="25.625" customWidth="1"/>
    <col min="15" max="15" width="16.625" bestFit="1" customWidth="1"/>
    <col min="18" max="18" width="12.5" customWidth="1"/>
    <col min="19" max="19" width="10.875" style="7"/>
    <col min="20" max="20" width="16.625" customWidth="1"/>
    <col min="23" max="23" width="15" customWidth="1"/>
    <col min="24" max="24" width="15.625" customWidth="1"/>
    <col min="25" max="25" width="14.875" customWidth="1"/>
    <col min="26" max="26" width="20.875" customWidth="1"/>
    <col min="27" max="27" width="34.5" style="60" customWidth="1"/>
    <col min="28" max="28" width="30.125" customWidth="1"/>
    <col min="29" max="29" width="25.375" customWidth="1"/>
    <col min="34" max="34" width="15.875" customWidth="1"/>
    <col min="35" max="35" width="18.375" customWidth="1"/>
    <col min="36" max="36" width="15.875" customWidth="1"/>
    <col min="37" max="37" width="23.125" customWidth="1"/>
    <col min="38" max="38" width="18.375" customWidth="1"/>
  </cols>
  <sheetData>
    <row r="2" spans="1:39" ht="18.95">
      <c r="U2" s="7" t="s">
        <v>0</v>
      </c>
      <c r="V2" s="7" t="s">
        <v>0</v>
      </c>
      <c r="W2" s="13" t="s">
        <v>1</v>
      </c>
      <c r="X2" s="13" t="s">
        <v>1</v>
      </c>
      <c r="Y2" s="7" t="s">
        <v>2</v>
      </c>
      <c r="Z2" s="7" t="s">
        <v>2</v>
      </c>
      <c r="AA2" s="60" t="s">
        <v>3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5</v>
      </c>
    </row>
    <row r="3" spans="1:39" ht="25.5" customHeight="1">
      <c r="A3" s="9" t="s">
        <v>6</v>
      </c>
      <c r="B3" s="9" t="s">
        <v>7</v>
      </c>
      <c r="C3" s="1" t="s">
        <v>8</v>
      </c>
      <c r="D3" s="2" t="s">
        <v>9</v>
      </c>
      <c r="E3" s="3" t="s">
        <v>10</v>
      </c>
      <c r="F3" s="2" t="s">
        <v>11</v>
      </c>
      <c r="G3" s="2" t="s">
        <v>12</v>
      </c>
      <c r="H3" s="1" t="s">
        <v>13</v>
      </c>
      <c r="I3" s="1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23</v>
      </c>
      <c r="S3" s="11" t="s">
        <v>24</v>
      </c>
      <c r="T3" s="4" t="s">
        <v>25</v>
      </c>
      <c r="U3" s="11" t="s">
        <v>26</v>
      </c>
      <c r="V3" s="11" t="s">
        <v>27</v>
      </c>
      <c r="W3" s="10" t="s">
        <v>28</v>
      </c>
      <c r="X3" s="10" t="s">
        <v>29</v>
      </c>
      <c r="Y3" s="4" t="s">
        <v>30</v>
      </c>
      <c r="Z3" s="5" t="s">
        <v>31</v>
      </c>
      <c r="AA3" s="61" t="s">
        <v>32</v>
      </c>
      <c r="AB3" s="6" t="s">
        <v>33</v>
      </c>
      <c r="AC3" s="6" t="s">
        <v>34</v>
      </c>
      <c r="AD3" s="6" t="s">
        <v>35</v>
      </c>
      <c r="AE3" s="6" t="s">
        <v>36</v>
      </c>
      <c r="AF3" s="6" t="s">
        <v>37</v>
      </c>
      <c r="AG3" s="5" t="s">
        <v>38</v>
      </c>
      <c r="AH3" s="5" t="s">
        <v>39</v>
      </c>
      <c r="AI3" s="5" t="s">
        <v>40</v>
      </c>
      <c r="AJ3" s="5" t="s">
        <v>41</v>
      </c>
      <c r="AK3" s="5" t="s">
        <v>42</v>
      </c>
      <c r="AL3" s="5" t="s">
        <v>43</v>
      </c>
    </row>
    <row r="4" spans="1:39" ht="15.75" customHeight="1">
      <c r="A4" s="16" t="s">
        <v>148</v>
      </c>
      <c r="B4" s="16" t="s">
        <v>589</v>
      </c>
      <c r="C4" s="16">
        <v>1</v>
      </c>
      <c r="D4" s="16"/>
      <c r="E4" s="16" t="s">
        <v>590</v>
      </c>
      <c r="F4" s="16">
        <v>2006</v>
      </c>
      <c r="G4" s="16" t="s">
        <v>591</v>
      </c>
      <c r="H4" s="16"/>
      <c r="I4" s="16" t="s">
        <v>592</v>
      </c>
      <c r="J4" s="16" t="s">
        <v>593</v>
      </c>
      <c r="K4" s="16"/>
      <c r="L4" s="16"/>
      <c r="M4" s="16"/>
      <c r="N4" s="16" t="s">
        <v>594</v>
      </c>
      <c r="O4" s="16" t="s">
        <v>595</v>
      </c>
      <c r="P4" s="16"/>
      <c r="Q4" s="16"/>
      <c r="R4" s="16" t="s">
        <v>596</v>
      </c>
      <c r="S4" s="16"/>
      <c r="T4" s="16"/>
      <c r="U4" s="16">
        <v>112</v>
      </c>
      <c r="V4" s="16"/>
      <c r="W4" s="16"/>
      <c r="X4" s="16" t="s">
        <v>597</v>
      </c>
      <c r="Y4" s="16">
        <v>2.9</v>
      </c>
      <c r="Z4" s="16" t="s">
        <v>598</v>
      </c>
      <c r="AA4" s="16" t="s">
        <v>599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spans="1:39" ht="15.75" customHeight="1">
      <c r="A5" s="16" t="s">
        <v>148</v>
      </c>
      <c r="B5" s="16" t="s">
        <v>589</v>
      </c>
      <c r="C5" s="16">
        <v>1</v>
      </c>
      <c r="D5" s="16"/>
      <c r="E5" s="16" t="s">
        <v>590</v>
      </c>
      <c r="F5" s="16">
        <v>2006</v>
      </c>
      <c r="G5" s="16" t="s">
        <v>591</v>
      </c>
      <c r="H5" s="16"/>
      <c r="I5" s="16" t="s">
        <v>592</v>
      </c>
      <c r="J5" s="16" t="s">
        <v>593</v>
      </c>
      <c r="K5" s="16"/>
      <c r="L5" s="16"/>
      <c r="M5" s="16"/>
      <c r="N5" s="16" t="s">
        <v>594</v>
      </c>
      <c r="O5" s="16" t="s">
        <v>595</v>
      </c>
      <c r="P5" s="16"/>
      <c r="Q5" s="16"/>
      <c r="R5" s="16" t="s">
        <v>600</v>
      </c>
      <c r="S5" s="16"/>
      <c r="T5" s="16"/>
      <c r="U5" s="16">
        <v>93</v>
      </c>
      <c r="V5" s="16"/>
      <c r="W5" s="16"/>
      <c r="X5" s="16" t="s">
        <v>601</v>
      </c>
      <c r="Y5" s="16">
        <v>2.6</v>
      </c>
      <c r="Z5" s="16" t="s">
        <v>602</v>
      </c>
      <c r="AA5" s="16" t="s">
        <v>599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ht="15.75" customHeight="1">
      <c r="A6" s="16" t="s">
        <v>148</v>
      </c>
      <c r="B6" s="16"/>
      <c r="C6" s="16">
        <v>2</v>
      </c>
      <c r="D6" s="16"/>
      <c r="E6" s="16" t="s">
        <v>603</v>
      </c>
      <c r="F6" s="16">
        <v>1994</v>
      </c>
      <c r="G6" s="16" t="s">
        <v>604</v>
      </c>
      <c r="H6" s="16"/>
      <c r="I6" s="16" t="s">
        <v>592</v>
      </c>
      <c r="J6" s="16" t="s">
        <v>605</v>
      </c>
      <c r="K6" s="16"/>
      <c r="L6" s="16"/>
      <c r="M6" s="16"/>
      <c r="N6" s="16"/>
      <c r="O6" s="16" t="s">
        <v>606</v>
      </c>
      <c r="P6" s="16"/>
      <c r="Q6" s="16"/>
      <c r="R6" s="16" t="s">
        <v>600</v>
      </c>
      <c r="S6" s="16"/>
      <c r="T6" s="16"/>
      <c r="U6" s="16">
        <v>120</v>
      </c>
      <c r="V6" s="16"/>
      <c r="W6" s="16"/>
      <c r="X6" s="16"/>
      <c r="Y6" s="16"/>
      <c r="Z6" s="16" t="s">
        <v>607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15.75" customHeight="1">
      <c r="A7" s="16" t="s">
        <v>148</v>
      </c>
      <c r="B7" s="16" t="s">
        <v>608</v>
      </c>
      <c r="C7" s="16">
        <v>3</v>
      </c>
      <c r="D7" s="16"/>
      <c r="E7" s="16" t="s">
        <v>609</v>
      </c>
      <c r="F7" s="16">
        <v>2002</v>
      </c>
      <c r="G7" s="16" t="s">
        <v>610</v>
      </c>
      <c r="H7" s="16"/>
      <c r="I7" s="16" t="s">
        <v>592</v>
      </c>
      <c r="J7" s="16" t="s">
        <v>611</v>
      </c>
      <c r="K7" s="16"/>
      <c r="L7" s="16"/>
      <c r="M7" s="16"/>
      <c r="N7" s="16" t="s">
        <v>612</v>
      </c>
      <c r="O7" s="16" t="s">
        <v>595</v>
      </c>
      <c r="P7" s="16"/>
      <c r="Q7" s="16"/>
      <c r="R7" s="16" t="s">
        <v>613</v>
      </c>
      <c r="S7" s="16"/>
      <c r="T7" s="16"/>
      <c r="U7" s="16">
        <v>29</v>
      </c>
      <c r="V7" s="16"/>
      <c r="W7" s="16"/>
      <c r="X7" s="16"/>
      <c r="Y7" s="16">
        <v>4.2</v>
      </c>
      <c r="Z7" s="16" t="s">
        <v>614</v>
      </c>
      <c r="AA7" s="16" t="s">
        <v>615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15.75" customHeight="1">
      <c r="A8" s="16" t="s">
        <v>148</v>
      </c>
      <c r="B8" s="16" t="s">
        <v>608</v>
      </c>
      <c r="C8" s="16">
        <v>3</v>
      </c>
      <c r="D8" s="16"/>
      <c r="E8" s="16" t="s">
        <v>609</v>
      </c>
      <c r="F8" s="16">
        <v>2002</v>
      </c>
      <c r="G8" s="16" t="s">
        <v>610</v>
      </c>
      <c r="H8" s="16"/>
      <c r="I8" s="16" t="s">
        <v>592</v>
      </c>
      <c r="J8" s="16" t="s">
        <v>611</v>
      </c>
      <c r="K8" s="16"/>
      <c r="L8" s="16"/>
      <c r="M8" s="16"/>
      <c r="N8" s="16" t="s">
        <v>616</v>
      </c>
      <c r="O8" s="16" t="s">
        <v>617</v>
      </c>
      <c r="P8" s="16"/>
      <c r="Q8" s="16"/>
      <c r="R8" s="16" t="s">
        <v>613</v>
      </c>
      <c r="S8" s="16"/>
      <c r="T8" s="16"/>
      <c r="U8" s="16">
        <v>29</v>
      </c>
      <c r="V8" s="16"/>
      <c r="W8" s="16"/>
      <c r="X8" s="16"/>
      <c r="Y8" s="16">
        <v>2.7</v>
      </c>
      <c r="Z8" s="16" t="s">
        <v>614</v>
      </c>
      <c r="AA8" s="16" t="s">
        <v>615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</row>
    <row r="9" spans="1:39" ht="15.75" customHeight="1">
      <c r="A9" s="16" t="s">
        <v>148</v>
      </c>
      <c r="B9" s="16" t="s">
        <v>618</v>
      </c>
      <c r="C9" s="16">
        <v>4</v>
      </c>
      <c r="D9" s="16"/>
      <c r="E9" s="16" t="s">
        <v>619</v>
      </c>
      <c r="F9" s="16">
        <v>2022</v>
      </c>
      <c r="G9" s="16" t="s">
        <v>610</v>
      </c>
      <c r="H9" s="16"/>
      <c r="I9" s="16" t="s">
        <v>592</v>
      </c>
      <c r="J9" s="16" t="s">
        <v>620</v>
      </c>
      <c r="K9" s="16"/>
      <c r="L9" s="16"/>
      <c r="M9" s="16"/>
      <c r="N9" s="16" t="s">
        <v>621</v>
      </c>
      <c r="O9" s="16" t="s">
        <v>595</v>
      </c>
      <c r="P9" s="16"/>
      <c r="Q9" s="16"/>
      <c r="R9" s="16" t="s">
        <v>622</v>
      </c>
      <c r="S9" s="16"/>
      <c r="T9" s="16"/>
      <c r="U9" s="16" t="s">
        <v>623</v>
      </c>
      <c r="V9" s="16"/>
      <c r="W9" s="16">
        <v>267</v>
      </c>
      <c r="X9" s="16"/>
      <c r="Y9" s="16">
        <v>3.9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15.75" customHeight="1">
      <c r="A10" s="16" t="s">
        <v>148</v>
      </c>
      <c r="B10" s="16" t="s">
        <v>618</v>
      </c>
      <c r="C10" s="16">
        <v>4</v>
      </c>
      <c r="D10" s="16"/>
      <c r="E10" s="16" t="s">
        <v>619</v>
      </c>
      <c r="F10" s="16">
        <v>2022</v>
      </c>
      <c r="G10" s="16" t="s">
        <v>610</v>
      </c>
      <c r="H10" s="16"/>
      <c r="I10" s="16" t="s">
        <v>592</v>
      </c>
      <c r="J10" s="16" t="s">
        <v>620</v>
      </c>
      <c r="K10" s="16"/>
      <c r="L10" s="16"/>
      <c r="M10" s="16"/>
      <c r="N10" s="16" t="s">
        <v>621</v>
      </c>
      <c r="O10" s="16" t="s">
        <v>624</v>
      </c>
      <c r="P10" s="16"/>
      <c r="Q10" s="16"/>
      <c r="R10" s="16" t="s">
        <v>622</v>
      </c>
      <c r="S10" s="16"/>
      <c r="T10" s="16"/>
      <c r="U10" s="16" t="s">
        <v>623</v>
      </c>
      <c r="V10" s="16"/>
      <c r="W10" s="16">
        <v>265</v>
      </c>
      <c r="X10" s="16"/>
      <c r="Y10" s="16">
        <v>3.9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spans="1:39" ht="15.75" customHeight="1">
      <c r="A11" s="16" t="s">
        <v>148</v>
      </c>
      <c r="B11" s="16" t="s">
        <v>625</v>
      </c>
      <c r="C11" s="16">
        <v>5</v>
      </c>
      <c r="D11" s="16"/>
      <c r="E11" s="16" t="s">
        <v>626</v>
      </c>
      <c r="F11" s="16">
        <v>2013</v>
      </c>
      <c r="G11" s="16" t="s">
        <v>627</v>
      </c>
      <c r="H11" s="16"/>
      <c r="I11" s="16" t="s">
        <v>592</v>
      </c>
      <c r="J11" s="16" t="s">
        <v>628</v>
      </c>
      <c r="K11" s="16"/>
      <c r="L11" s="16"/>
      <c r="M11" s="16"/>
      <c r="N11" s="16" t="s">
        <v>629</v>
      </c>
      <c r="O11" s="16" t="s">
        <v>595</v>
      </c>
      <c r="P11" s="16"/>
      <c r="Q11" s="16"/>
      <c r="R11" s="16" t="s">
        <v>630</v>
      </c>
      <c r="S11" s="16"/>
      <c r="T11" s="16"/>
      <c r="U11" s="16">
        <v>25</v>
      </c>
      <c r="V11" s="16"/>
      <c r="W11" s="16">
        <v>86</v>
      </c>
      <c r="X11" s="16">
        <v>138</v>
      </c>
      <c r="Y11" s="16">
        <v>3.4</v>
      </c>
      <c r="Z11" s="16" t="s">
        <v>614</v>
      </c>
      <c r="AA11" s="16" t="s">
        <v>631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 spans="1:39" ht="15.75" customHeight="1">
      <c r="A12" s="16" t="s">
        <v>148</v>
      </c>
      <c r="B12" s="16" t="s">
        <v>625</v>
      </c>
      <c r="C12" s="16">
        <v>5</v>
      </c>
      <c r="D12" s="16"/>
      <c r="E12" s="16" t="s">
        <v>626</v>
      </c>
      <c r="F12" s="16">
        <v>2013</v>
      </c>
      <c r="G12" s="16" t="s">
        <v>627</v>
      </c>
      <c r="H12" s="16"/>
      <c r="I12" s="16" t="s">
        <v>592</v>
      </c>
      <c r="J12" s="16" t="s">
        <v>628</v>
      </c>
      <c r="K12" s="16"/>
      <c r="L12" s="16"/>
      <c r="M12" s="16"/>
      <c r="N12" s="16" t="s">
        <v>632</v>
      </c>
      <c r="O12" s="16" t="s">
        <v>595</v>
      </c>
      <c r="P12" s="16"/>
      <c r="Q12" s="16"/>
      <c r="R12" s="16" t="s">
        <v>630</v>
      </c>
      <c r="S12" s="16"/>
      <c r="T12" s="16"/>
      <c r="U12" s="16">
        <v>120</v>
      </c>
      <c r="V12" s="16"/>
      <c r="W12" s="16">
        <v>420</v>
      </c>
      <c r="X12" s="16">
        <v>153</v>
      </c>
      <c r="Y12" s="16">
        <v>3.5</v>
      </c>
      <c r="Z12" s="16">
        <v>0.17</v>
      </c>
      <c r="AA12" s="16" t="s">
        <v>631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 spans="1:39" ht="15.75" customHeight="1">
      <c r="A13" s="16" t="s">
        <v>148</v>
      </c>
      <c r="B13" s="16" t="s">
        <v>608</v>
      </c>
      <c r="C13" s="16">
        <v>6</v>
      </c>
      <c r="D13" s="16"/>
      <c r="E13" s="16" t="s">
        <v>633</v>
      </c>
      <c r="F13" s="16">
        <v>2019</v>
      </c>
      <c r="G13" s="16" t="s">
        <v>610</v>
      </c>
      <c r="H13" s="16"/>
      <c r="I13" s="16" t="s">
        <v>592</v>
      </c>
      <c r="J13" s="16" t="s">
        <v>634</v>
      </c>
      <c r="K13" s="16"/>
      <c r="L13" s="16"/>
      <c r="M13" s="16"/>
      <c r="N13" s="16" t="s">
        <v>635</v>
      </c>
      <c r="O13" s="16" t="s">
        <v>636</v>
      </c>
      <c r="P13" s="16"/>
      <c r="Q13" s="16"/>
      <c r="R13" s="16" t="s">
        <v>637</v>
      </c>
      <c r="S13" s="16"/>
      <c r="T13" s="16"/>
      <c r="U13" s="16"/>
      <c r="V13" s="16"/>
      <c r="W13" s="16"/>
      <c r="X13" s="16" t="s">
        <v>638</v>
      </c>
      <c r="Y13" s="16"/>
      <c r="Z13" s="16">
        <v>0.34</v>
      </c>
      <c r="AA13" s="16" t="s">
        <v>639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 spans="1:39" ht="15.75" customHeight="1">
      <c r="A14" s="16" t="s">
        <v>148</v>
      </c>
      <c r="B14" s="16" t="s">
        <v>625</v>
      </c>
      <c r="C14" s="16">
        <v>7</v>
      </c>
      <c r="D14" s="16"/>
      <c r="E14" s="16" t="s">
        <v>640</v>
      </c>
      <c r="F14" s="16">
        <v>2023</v>
      </c>
      <c r="G14" s="16" t="s">
        <v>641</v>
      </c>
      <c r="H14" s="16"/>
      <c r="I14" s="16" t="s">
        <v>592</v>
      </c>
      <c r="J14" s="16" t="s">
        <v>628</v>
      </c>
      <c r="K14" s="16"/>
      <c r="L14" s="16"/>
      <c r="M14" s="16"/>
      <c r="N14" s="16" t="s">
        <v>642</v>
      </c>
      <c r="O14" s="16" t="s">
        <v>595</v>
      </c>
      <c r="P14" s="16"/>
      <c r="Q14" s="16"/>
      <c r="R14" s="16" t="s">
        <v>630</v>
      </c>
      <c r="S14" s="16"/>
      <c r="T14" s="16"/>
      <c r="U14" s="16">
        <v>0</v>
      </c>
      <c r="V14" s="16"/>
      <c r="W14" s="16"/>
      <c r="X14" s="16">
        <v>115</v>
      </c>
      <c r="Y14" s="16"/>
      <c r="Z14" s="16"/>
      <c r="AA14" s="16" t="s">
        <v>643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 ht="15.75" customHeight="1">
      <c r="A15" s="16" t="s">
        <v>148</v>
      </c>
      <c r="B15" s="16" t="s">
        <v>625</v>
      </c>
      <c r="C15" s="16">
        <v>7</v>
      </c>
      <c r="D15" s="16"/>
      <c r="E15" s="16" t="s">
        <v>640</v>
      </c>
      <c r="F15" s="16">
        <v>2023</v>
      </c>
      <c r="G15" s="16" t="s">
        <v>641</v>
      </c>
      <c r="H15" s="16"/>
      <c r="I15" s="16" t="s">
        <v>592</v>
      </c>
      <c r="J15" s="16" t="s">
        <v>628</v>
      </c>
      <c r="K15" s="16"/>
      <c r="L15" s="16"/>
      <c r="M15" s="16"/>
      <c r="N15" s="16" t="s">
        <v>642</v>
      </c>
      <c r="O15" s="16" t="s">
        <v>595</v>
      </c>
      <c r="P15" s="16"/>
      <c r="Q15" s="16"/>
      <c r="R15" s="16" t="s">
        <v>630</v>
      </c>
      <c r="S15" s="16"/>
      <c r="T15" s="16"/>
      <c r="U15" s="16">
        <v>40</v>
      </c>
      <c r="V15" s="16"/>
      <c r="W15" s="16"/>
      <c r="X15" s="16">
        <v>124</v>
      </c>
      <c r="Y15" s="16"/>
      <c r="Z15" s="16" t="s">
        <v>614</v>
      </c>
      <c r="AA15" s="16" t="s">
        <v>643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spans="1:39" ht="15.75" customHeight="1">
      <c r="A16" s="16" t="s">
        <v>148</v>
      </c>
      <c r="B16" s="16" t="s">
        <v>625</v>
      </c>
      <c r="C16" s="16">
        <v>7</v>
      </c>
      <c r="D16" s="16"/>
      <c r="E16" s="16" t="s">
        <v>640</v>
      </c>
      <c r="F16" s="16">
        <v>2023</v>
      </c>
      <c r="G16" s="16" t="s">
        <v>641</v>
      </c>
      <c r="H16" s="16"/>
      <c r="I16" s="16" t="s">
        <v>592</v>
      </c>
      <c r="J16" s="16" t="s">
        <v>628</v>
      </c>
      <c r="K16" s="16"/>
      <c r="L16" s="16"/>
      <c r="M16" s="16"/>
      <c r="N16" s="16" t="s">
        <v>642</v>
      </c>
      <c r="O16" s="16" t="s">
        <v>595</v>
      </c>
      <c r="P16" s="16"/>
      <c r="Q16" s="16"/>
      <c r="R16" s="16" t="s">
        <v>630</v>
      </c>
      <c r="S16" s="16"/>
      <c r="T16" s="16"/>
      <c r="U16" s="16">
        <v>55</v>
      </c>
      <c r="V16" s="16"/>
      <c r="W16" s="16"/>
      <c r="X16" s="16">
        <v>100</v>
      </c>
      <c r="Y16" s="16"/>
      <c r="Z16" s="16" t="s">
        <v>614</v>
      </c>
      <c r="AA16" s="16" t="s">
        <v>643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spans="1:39" ht="15.75" customHeight="1">
      <c r="A17" s="16" t="s">
        <v>148</v>
      </c>
      <c r="B17" s="16" t="s">
        <v>625</v>
      </c>
      <c r="C17" s="16">
        <v>7</v>
      </c>
      <c r="D17" s="16"/>
      <c r="E17" s="16" t="s">
        <v>640</v>
      </c>
      <c r="F17" s="16">
        <v>2023</v>
      </c>
      <c r="G17" s="16" t="s">
        <v>641</v>
      </c>
      <c r="H17" s="16"/>
      <c r="I17" s="16" t="s">
        <v>592</v>
      </c>
      <c r="J17" s="16" t="s">
        <v>628</v>
      </c>
      <c r="K17" s="16"/>
      <c r="L17" s="16"/>
      <c r="M17" s="16"/>
      <c r="N17" s="16" t="s">
        <v>642</v>
      </c>
      <c r="O17" s="16" t="s">
        <v>595</v>
      </c>
      <c r="P17" s="16"/>
      <c r="Q17" s="16"/>
      <c r="R17" s="16" t="s">
        <v>630</v>
      </c>
      <c r="S17" s="16"/>
      <c r="T17" s="16"/>
      <c r="U17" s="16">
        <v>130</v>
      </c>
      <c r="V17" s="16"/>
      <c r="W17" s="16"/>
      <c r="X17" s="16">
        <v>123</v>
      </c>
      <c r="Y17" s="16"/>
      <c r="Z17" s="16" t="s">
        <v>614</v>
      </c>
      <c r="AA17" s="16" t="s">
        <v>643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ht="15.75" customHeight="1">
      <c r="A18" s="16" t="s">
        <v>148</v>
      </c>
      <c r="B18" s="16" t="s">
        <v>644</v>
      </c>
      <c r="C18" s="16">
        <v>8</v>
      </c>
      <c r="D18" s="16"/>
      <c r="E18" s="16" t="s">
        <v>645</v>
      </c>
      <c r="F18" s="16">
        <v>2022</v>
      </c>
      <c r="G18" s="16" t="s">
        <v>646</v>
      </c>
      <c r="H18" s="16"/>
      <c r="I18" s="16" t="s">
        <v>592</v>
      </c>
      <c r="J18" s="16" t="s">
        <v>620</v>
      </c>
      <c r="K18" s="16"/>
      <c r="L18" s="16"/>
      <c r="M18" s="16"/>
      <c r="N18" s="16" t="s">
        <v>647</v>
      </c>
      <c r="O18" s="16" t="s">
        <v>595</v>
      </c>
      <c r="P18" s="16"/>
      <c r="Q18" s="16"/>
      <c r="R18" s="16" t="s">
        <v>648</v>
      </c>
      <c r="S18" s="16"/>
      <c r="T18" s="16"/>
      <c r="U18" s="16">
        <v>52</v>
      </c>
      <c r="V18" s="16"/>
      <c r="W18" s="16">
        <v>143</v>
      </c>
      <c r="X18" s="16"/>
      <c r="Y18" s="16">
        <v>2.8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spans="1:39" ht="15.75" customHeight="1">
      <c r="A19" s="16" t="s">
        <v>148</v>
      </c>
      <c r="B19" s="16" t="s">
        <v>644</v>
      </c>
      <c r="C19" s="16">
        <v>8</v>
      </c>
      <c r="D19" s="16"/>
      <c r="E19" s="16" t="s">
        <v>645</v>
      </c>
      <c r="F19" s="16">
        <v>2022</v>
      </c>
      <c r="G19" s="16" t="s">
        <v>646</v>
      </c>
      <c r="H19" s="16"/>
      <c r="I19" s="16" t="s">
        <v>592</v>
      </c>
      <c r="J19" s="16" t="s">
        <v>620</v>
      </c>
      <c r="K19" s="16"/>
      <c r="L19" s="16"/>
      <c r="M19" s="16"/>
      <c r="N19" s="16" t="s">
        <v>647</v>
      </c>
      <c r="O19" s="16" t="s">
        <v>649</v>
      </c>
      <c r="P19" s="16"/>
      <c r="Q19" s="16"/>
      <c r="R19" s="16" t="s">
        <v>648</v>
      </c>
      <c r="S19" s="16"/>
      <c r="T19" s="16"/>
      <c r="U19" s="16">
        <v>52</v>
      </c>
      <c r="V19" s="16"/>
      <c r="W19" s="16">
        <v>169</v>
      </c>
      <c r="X19" s="16"/>
      <c r="Y19" s="16">
        <v>3.3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39" ht="15.75" customHeight="1">
      <c r="A20" s="16" t="s">
        <v>148</v>
      </c>
      <c r="B20" s="16" t="s">
        <v>644</v>
      </c>
      <c r="C20" s="16">
        <v>8</v>
      </c>
      <c r="D20" s="16"/>
      <c r="E20" s="16" t="s">
        <v>645</v>
      </c>
      <c r="F20" s="16">
        <v>2022</v>
      </c>
      <c r="G20" s="16" t="s">
        <v>646</v>
      </c>
      <c r="H20" s="16"/>
      <c r="I20" s="16" t="s">
        <v>592</v>
      </c>
      <c r="J20" s="16" t="s">
        <v>620</v>
      </c>
      <c r="K20" s="16"/>
      <c r="L20" s="16"/>
      <c r="M20" s="16"/>
      <c r="N20" s="16" t="s">
        <v>647</v>
      </c>
      <c r="O20" s="16" t="s">
        <v>650</v>
      </c>
      <c r="P20" s="16"/>
      <c r="Q20" s="16"/>
      <c r="R20" s="16" t="s">
        <v>648</v>
      </c>
      <c r="S20" s="16"/>
      <c r="T20" s="16"/>
      <c r="U20" s="16">
        <v>52</v>
      </c>
      <c r="V20" s="16"/>
      <c r="W20" s="16">
        <v>128</v>
      </c>
      <c r="X20" s="16"/>
      <c r="Y20" s="16">
        <v>2.5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 spans="1:39" ht="15.75" customHeight="1">
      <c r="A21" s="16" t="s">
        <v>148</v>
      </c>
      <c r="B21" s="16" t="s">
        <v>644</v>
      </c>
      <c r="C21" s="16">
        <v>8</v>
      </c>
      <c r="D21" s="16"/>
      <c r="E21" s="16" t="s">
        <v>645</v>
      </c>
      <c r="F21" s="16">
        <v>2022</v>
      </c>
      <c r="G21" s="16" t="s">
        <v>646</v>
      </c>
      <c r="H21" s="16"/>
      <c r="I21" s="16" t="s">
        <v>592</v>
      </c>
      <c r="J21" s="16" t="s">
        <v>620</v>
      </c>
      <c r="K21" s="16"/>
      <c r="L21" s="16"/>
      <c r="M21" s="16"/>
      <c r="N21" s="16" t="s">
        <v>647</v>
      </c>
      <c r="O21" s="16" t="s">
        <v>651</v>
      </c>
      <c r="P21" s="16"/>
      <c r="Q21" s="16"/>
      <c r="R21" s="16" t="s">
        <v>648</v>
      </c>
      <c r="S21" s="16"/>
      <c r="T21" s="16"/>
      <c r="U21" s="16">
        <v>52</v>
      </c>
      <c r="V21" s="16"/>
      <c r="W21" s="16">
        <v>90</v>
      </c>
      <c r="X21" s="16"/>
      <c r="Y21" s="16">
        <v>1.7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</row>
    <row r="22" spans="1:39" ht="15.75" customHeight="1">
      <c r="A22" s="16" t="s">
        <v>148</v>
      </c>
      <c r="B22" s="16" t="s">
        <v>644</v>
      </c>
      <c r="C22" s="16">
        <v>8</v>
      </c>
      <c r="D22" s="16"/>
      <c r="E22" s="16" t="s">
        <v>645</v>
      </c>
      <c r="F22" s="16">
        <v>2022</v>
      </c>
      <c r="G22" s="16" t="s">
        <v>646</v>
      </c>
      <c r="H22" s="16"/>
      <c r="I22" s="16" t="s">
        <v>592</v>
      </c>
      <c r="J22" s="16" t="s">
        <v>620</v>
      </c>
      <c r="K22" s="16"/>
      <c r="L22" s="16"/>
      <c r="M22" s="16"/>
      <c r="N22" s="16" t="s">
        <v>647</v>
      </c>
      <c r="O22" s="16" t="s">
        <v>652</v>
      </c>
      <c r="P22" s="16"/>
      <c r="Q22" s="16"/>
      <c r="R22" s="16" t="s">
        <v>648</v>
      </c>
      <c r="S22" s="16"/>
      <c r="T22" s="16"/>
      <c r="U22" s="16">
        <v>52</v>
      </c>
      <c r="V22" s="16"/>
      <c r="W22" s="16">
        <v>99</v>
      </c>
      <c r="X22" s="16"/>
      <c r="Y22" s="16">
        <v>1.9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</row>
    <row r="23" spans="1:39" ht="15.75" customHeight="1">
      <c r="A23" s="16" t="s">
        <v>148</v>
      </c>
      <c r="B23" s="16" t="s">
        <v>653</v>
      </c>
      <c r="C23" s="16">
        <v>9</v>
      </c>
      <c r="D23" s="16"/>
      <c r="E23" s="16" t="s">
        <v>654</v>
      </c>
      <c r="F23" s="16">
        <v>2022</v>
      </c>
      <c r="G23" s="16" t="s">
        <v>655</v>
      </c>
      <c r="H23" s="16"/>
      <c r="I23" s="16" t="s">
        <v>592</v>
      </c>
      <c r="J23" s="16" t="s">
        <v>620</v>
      </c>
      <c r="K23" s="16"/>
      <c r="L23" s="16"/>
      <c r="M23" s="16"/>
      <c r="N23" s="16" t="s">
        <v>647</v>
      </c>
      <c r="O23" s="16" t="s">
        <v>656</v>
      </c>
      <c r="P23" s="16"/>
      <c r="Q23" s="16"/>
      <c r="R23" s="16" t="s">
        <v>657</v>
      </c>
      <c r="S23" s="16"/>
      <c r="T23" s="16"/>
      <c r="U23" s="16">
        <v>14</v>
      </c>
      <c r="V23" s="16"/>
      <c r="W23" s="16">
        <v>15</v>
      </c>
      <c r="X23" s="16"/>
      <c r="Y23" s="16">
        <v>1.1000000000000001</v>
      </c>
      <c r="Z23" s="70">
        <v>1.5</v>
      </c>
      <c r="AA23" s="16" t="s">
        <v>658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</row>
    <row r="24" spans="1:39" ht="15.75" customHeight="1">
      <c r="A24" s="16" t="s">
        <v>148</v>
      </c>
      <c r="B24" s="16" t="s">
        <v>653</v>
      </c>
      <c r="C24" s="16">
        <v>9</v>
      </c>
      <c r="D24" s="16"/>
      <c r="E24" s="16" t="s">
        <v>654</v>
      </c>
      <c r="F24" s="16">
        <v>2022</v>
      </c>
      <c r="G24" s="16" t="s">
        <v>655</v>
      </c>
      <c r="H24" s="16"/>
      <c r="I24" s="16" t="s">
        <v>592</v>
      </c>
      <c r="J24" s="16" t="s">
        <v>620</v>
      </c>
      <c r="K24" s="16"/>
      <c r="L24" s="16"/>
      <c r="M24" s="16"/>
      <c r="N24" s="16" t="s">
        <v>647</v>
      </c>
      <c r="O24" s="16" t="s">
        <v>617</v>
      </c>
      <c r="P24" s="16"/>
      <c r="Q24" s="16"/>
      <c r="R24" s="16" t="s">
        <v>657</v>
      </c>
      <c r="S24" s="16"/>
      <c r="T24" s="16"/>
      <c r="U24" s="16">
        <v>14</v>
      </c>
      <c r="V24" s="16"/>
      <c r="W24" s="16">
        <v>34</v>
      </c>
      <c r="X24" s="16"/>
      <c r="Y24" s="71">
        <v>2.4</v>
      </c>
      <c r="Z24" s="70">
        <v>1.5</v>
      </c>
      <c r="AA24" s="16" t="s">
        <v>658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</row>
    <row r="25" spans="1:39" ht="15.75" customHeight="1">
      <c r="A25" s="16" t="s">
        <v>148</v>
      </c>
      <c r="B25" s="16" t="s">
        <v>653</v>
      </c>
      <c r="C25" s="16">
        <v>9</v>
      </c>
      <c r="D25" s="16"/>
      <c r="E25" s="16" t="s">
        <v>654</v>
      </c>
      <c r="F25" s="16">
        <v>2022</v>
      </c>
      <c r="G25" s="16" t="s">
        <v>655</v>
      </c>
      <c r="H25" s="16"/>
      <c r="I25" s="16" t="s">
        <v>592</v>
      </c>
      <c r="J25" s="16" t="s">
        <v>620</v>
      </c>
      <c r="K25" s="16"/>
      <c r="L25" s="16"/>
      <c r="M25" s="16"/>
      <c r="N25" s="16" t="s">
        <v>647</v>
      </c>
      <c r="O25" s="16" t="s">
        <v>651</v>
      </c>
      <c r="P25" s="16"/>
      <c r="Q25" s="16"/>
      <c r="R25" s="16" t="s">
        <v>657</v>
      </c>
      <c r="S25" s="16"/>
      <c r="T25" s="16"/>
      <c r="U25" s="16">
        <v>14</v>
      </c>
      <c r="V25" s="16"/>
      <c r="W25" s="16">
        <v>104</v>
      </c>
      <c r="X25" s="16"/>
      <c r="Y25" s="72">
        <v>7.4</v>
      </c>
      <c r="Z25" s="70">
        <v>1.4</v>
      </c>
      <c r="AA25" s="16" t="s">
        <v>658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</row>
    <row r="26" spans="1:39" ht="15.75" customHeight="1">
      <c r="A26" s="16" t="s">
        <v>148</v>
      </c>
      <c r="B26" s="16" t="s">
        <v>653</v>
      </c>
      <c r="C26" s="16">
        <v>9</v>
      </c>
      <c r="D26" s="16"/>
      <c r="E26" s="16" t="s">
        <v>654</v>
      </c>
      <c r="F26" s="16">
        <v>2022</v>
      </c>
      <c r="G26" s="16" t="s">
        <v>655</v>
      </c>
      <c r="H26" s="16"/>
      <c r="I26" s="16" t="s">
        <v>592</v>
      </c>
      <c r="J26" s="16" t="s">
        <v>620</v>
      </c>
      <c r="K26" s="16"/>
      <c r="L26" s="16"/>
      <c r="M26" s="16"/>
      <c r="N26" s="16" t="s">
        <v>647</v>
      </c>
      <c r="O26" s="16" t="s">
        <v>659</v>
      </c>
      <c r="P26" s="16"/>
      <c r="Q26" s="16"/>
      <c r="R26" s="16" t="s">
        <v>657</v>
      </c>
      <c r="S26" s="16"/>
      <c r="T26" s="16"/>
      <c r="U26" s="16">
        <v>14</v>
      </c>
      <c r="V26" s="16"/>
      <c r="W26" s="16">
        <v>92</v>
      </c>
      <c r="X26" s="16"/>
      <c r="Y26" s="72">
        <v>6.6</v>
      </c>
      <c r="Z26" s="70">
        <v>2.4</v>
      </c>
      <c r="AA26" s="16" t="s">
        <v>658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</row>
    <row r="27" spans="1:39" ht="15.75" customHeight="1">
      <c r="A27" s="16" t="s">
        <v>148</v>
      </c>
      <c r="B27" s="16" t="s">
        <v>653</v>
      </c>
      <c r="C27" s="16">
        <v>9</v>
      </c>
      <c r="D27" s="16"/>
      <c r="E27" s="16" t="s">
        <v>654</v>
      </c>
      <c r="F27" s="16">
        <v>2022</v>
      </c>
      <c r="G27" s="16" t="s">
        <v>655</v>
      </c>
      <c r="H27" s="16"/>
      <c r="I27" s="16" t="s">
        <v>592</v>
      </c>
      <c r="J27" s="16" t="s">
        <v>620</v>
      </c>
      <c r="K27" s="16"/>
      <c r="L27" s="16"/>
      <c r="M27" s="16"/>
      <c r="N27" s="16" t="s">
        <v>647</v>
      </c>
      <c r="O27" s="16" t="s">
        <v>595</v>
      </c>
      <c r="P27" s="16"/>
      <c r="Q27" s="16"/>
      <c r="R27" s="16" t="s">
        <v>657</v>
      </c>
      <c r="S27" s="16"/>
      <c r="T27" s="16"/>
      <c r="U27" s="16">
        <v>14</v>
      </c>
      <c r="V27" s="16"/>
      <c r="W27" s="16">
        <v>72</v>
      </c>
      <c r="X27" s="16"/>
      <c r="Y27" s="71">
        <v>5.0999999999999996</v>
      </c>
      <c r="Z27" s="70">
        <v>1.5</v>
      </c>
      <c r="AA27" s="16" t="s">
        <v>658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</row>
    <row r="28" spans="1:39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62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</row>
    <row r="29" spans="1:3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62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</row>
    <row r="30" spans="1:39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57" t="s">
        <v>660</v>
      </c>
      <c r="AA30" s="62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</row>
    <row r="31" spans="1:39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58" t="s">
        <v>661</v>
      </c>
      <c r="AA31" s="62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</row>
    <row r="32" spans="1:39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59" t="s">
        <v>662</v>
      </c>
      <c r="AA32" s="62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 spans="1:39" ht="15.75" customHeight="1">
      <c r="A33" s="16" t="s">
        <v>663</v>
      </c>
      <c r="B33" s="16" t="s">
        <v>664</v>
      </c>
      <c r="C33" s="16">
        <v>10</v>
      </c>
      <c r="D33" s="16"/>
      <c r="E33" s="16" t="s">
        <v>665</v>
      </c>
      <c r="F33" s="16">
        <v>2016</v>
      </c>
      <c r="G33" s="51" t="s">
        <v>666</v>
      </c>
      <c r="H33" s="16"/>
      <c r="I33" s="16" t="s">
        <v>667</v>
      </c>
      <c r="J33" s="16" t="s">
        <v>668</v>
      </c>
      <c r="K33" s="16"/>
      <c r="L33" s="16"/>
      <c r="M33" s="16"/>
      <c r="N33" s="16" t="s">
        <v>669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 t="s">
        <v>670</v>
      </c>
      <c r="Z33" s="16">
        <v>-10.75</v>
      </c>
      <c r="AA33" s="63" t="s">
        <v>671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</row>
    <row r="34" spans="1:39" ht="15.75" customHeight="1">
      <c r="A34" s="16" t="s">
        <v>663</v>
      </c>
      <c r="B34" s="16" t="s">
        <v>672</v>
      </c>
      <c r="C34" s="16">
        <v>10</v>
      </c>
      <c r="D34" s="16"/>
      <c r="E34" s="16" t="s">
        <v>665</v>
      </c>
      <c r="F34" s="16">
        <v>2016</v>
      </c>
      <c r="G34" s="51" t="s">
        <v>666</v>
      </c>
      <c r="H34" s="16"/>
      <c r="I34" s="16" t="s">
        <v>667</v>
      </c>
      <c r="J34" s="16" t="s">
        <v>668</v>
      </c>
      <c r="K34" s="16"/>
      <c r="L34" s="16"/>
      <c r="M34" s="16"/>
      <c r="N34" s="16" t="s">
        <v>669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 t="s">
        <v>670</v>
      </c>
      <c r="Z34" s="16">
        <v>-8.57</v>
      </c>
      <c r="AA34" s="63" t="s">
        <v>671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</row>
    <row r="35" spans="1:39" ht="15.75" customHeight="1">
      <c r="A35" s="16" t="s">
        <v>663</v>
      </c>
      <c r="B35" s="16" t="s">
        <v>673</v>
      </c>
      <c r="C35" s="16">
        <v>10</v>
      </c>
      <c r="D35" s="16"/>
      <c r="E35" s="16" t="s">
        <v>665</v>
      </c>
      <c r="F35" s="16">
        <v>2016</v>
      </c>
      <c r="G35" s="51" t="s">
        <v>666</v>
      </c>
      <c r="H35" s="16"/>
      <c r="I35" s="16" t="s">
        <v>667</v>
      </c>
      <c r="J35" s="16" t="s">
        <v>668</v>
      </c>
      <c r="K35" s="16"/>
      <c r="L35" s="16"/>
      <c r="M35" s="16"/>
      <c r="N35" s="16" t="s">
        <v>669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 t="s">
        <v>670</v>
      </c>
      <c r="Z35" s="16">
        <v>3.9</v>
      </c>
      <c r="AA35" s="63" t="s">
        <v>671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 spans="1:39" ht="15.75" customHeight="1">
      <c r="A36" s="16" t="s">
        <v>663</v>
      </c>
      <c r="B36" s="16" t="s">
        <v>674</v>
      </c>
      <c r="C36" s="16">
        <v>10</v>
      </c>
      <c r="D36" s="16"/>
      <c r="E36" s="16" t="s">
        <v>665</v>
      </c>
      <c r="F36" s="16">
        <v>2016</v>
      </c>
      <c r="G36" s="51" t="s">
        <v>666</v>
      </c>
      <c r="H36" s="16"/>
      <c r="I36" s="16" t="s">
        <v>667</v>
      </c>
      <c r="J36" s="16" t="s">
        <v>668</v>
      </c>
      <c r="K36" s="16"/>
      <c r="L36" s="16"/>
      <c r="M36" s="16"/>
      <c r="N36" s="16" t="s">
        <v>669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 t="s">
        <v>670</v>
      </c>
      <c r="Z36" s="16">
        <v>9.52</v>
      </c>
      <c r="AA36" s="63" t="s">
        <v>671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 spans="1:39" ht="15.75" customHeight="1">
      <c r="A37" s="16" t="s">
        <v>663</v>
      </c>
      <c r="B37" s="16" t="s">
        <v>675</v>
      </c>
      <c r="C37" s="16">
        <v>10</v>
      </c>
      <c r="D37" s="16"/>
      <c r="E37" s="16" t="s">
        <v>665</v>
      </c>
      <c r="F37" s="16">
        <v>2016</v>
      </c>
      <c r="G37" s="51" t="s">
        <v>666</v>
      </c>
      <c r="H37" s="16"/>
      <c r="I37" s="16" t="s">
        <v>667</v>
      </c>
      <c r="J37" s="16" t="s">
        <v>668</v>
      </c>
      <c r="K37" s="16"/>
      <c r="L37" s="16"/>
      <c r="M37" s="16"/>
      <c r="N37" s="16" t="s">
        <v>669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 t="s">
        <v>670</v>
      </c>
      <c r="Z37" s="16">
        <v>-1.28</v>
      </c>
      <c r="AA37" s="63" t="s">
        <v>671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</row>
    <row r="38" spans="1:39" ht="15.75" customHeight="1">
      <c r="A38" s="16" t="s">
        <v>663</v>
      </c>
      <c r="B38" s="16" t="s">
        <v>676</v>
      </c>
      <c r="C38" s="16">
        <v>10</v>
      </c>
      <c r="D38" s="16"/>
      <c r="E38" s="16" t="s">
        <v>665</v>
      </c>
      <c r="F38" s="16">
        <v>2016</v>
      </c>
      <c r="G38" s="51" t="s">
        <v>666</v>
      </c>
      <c r="H38" s="16"/>
      <c r="I38" s="16" t="s">
        <v>667</v>
      </c>
      <c r="J38" s="16" t="s">
        <v>668</v>
      </c>
      <c r="K38" s="16"/>
      <c r="L38" s="16"/>
      <c r="M38" s="16"/>
      <c r="N38" s="16" t="s">
        <v>669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 t="s">
        <v>670</v>
      </c>
      <c r="Z38" s="16">
        <v>-1.28</v>
      </c>
      <c r="AA38" s="63" t="s">
        <v>671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</row>
    <row r="39" spans="1:39" ht="15.75" customHeight="1">
      <c r="A39" s="16" t="s">
        <v>663</v>
      </c>
      <c r="B39" s="16" t="s">
        <v>677</v>
      </c>
      <c r="C39" s="16">
        <v>10</v>
      </c>
      <c r="D39" s="16"/>
      <c r="E39" s="16" t="s">
        <v>665</v>
      </c>
      <c r="F39" s="16">
        <v>2016</v>
      </c>
      <c r="G39" s="51" t="s">
        <v>666</v>
      </c>
      <c r="H39" s="16"/>
      <c r="I39" s="16" t="s">
        <v>667</v>
      </c>
      <c r="J39" s="16" t="s">
        <v>668</v>
      </c>
      <c r="K39" s="16"/>
      <c r="L39" s="16"/>
      <c r="M39" s="16"/>
      <c r="N39" s="16" t="s">
        <v>669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 t="s">
        <v>670</v>
      </c>
      <c r="Z39" s="16">
        <v>-8.4700000000000006</v>
      </c>
      <c r="AA39" s="63" t="s">
        <v>671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</row>
    <row r="40" spans="1:39" ht="15.75" customHeight="1">
      <c r="A40" s="16" t="s">
        <v>663</v>
      </c>
      <c r="B40" s="16" t="s">
        <v>677</v>
      </c>
      <c r="C40" s="16">
        <v>10</v>
      </c>
      <c r="D40" s="16"/>
      <c r="E40" s="16" t="s">
        <v>665</v>
      </c>
      <c r="F40" s="16">
        <v>2016</v>
      </c>
      <c r="G40" s="51" t="s">
        <v>666</v>
      </c>
      <c r="H40" s="16"/>
      <c r="I40" s="16" t="s">
        <v>667</v>
      </c>
      <c r="J40" s="16" t="s">
        <v>668</v>
      </c>
      <c r="K40" s="16"/>
      <c r="L40" s="16"/>
      <c r="M40" s="16"/>
      <c r="N40" s="16" t="s">
        <v>669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 t="s">
        <v>670</v>
      </c>
      <c r="Z40" s="16">
        <v>0.32</v>
      </c>
      <c r="AA40" s="63" t="s">
        <v>671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</row>
    <row r="41" spans="1:39" ht="15.75" customHeight="1">
      <c r="A41" s="16" t="s">
        <v>663</v>
      </c>
      <c r="B41" s="16" t="s">
        <v>678</v>
      </c>
      <c r="C41" s="16">
        <v>11</v>
      </c>
      <c r="D41" s="16"/>
      <c r="E41" s="16" t="s">
        <v>679</v>
      </c>
      <c r="F41" s="16">
        <v>2020</v>
      </c>
      <c r="G41" s="51" t="s">
        <v>680</v>
      </c>
      <c r="H41" s="51"/>
      <c r="I41" s="16" t="s">
        <v>667</v>
      </c>
      <c r="J41" s="16" t="s">
        <v>605</v>
      </c>
      <c r="K41" s="16"/>
      <c r="L41" s="16"/>
      <c r="M41" s="16"/>
      <c r="N41" s="16" t="s">
        <v>669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 t="s">
        <v>670</v>
      </c>
      <c r="Z41" s="16">
        <v>-29.7</v>
      </c>
      <c r="AA41" s="63" t="s">
        <v>671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</row>
    <row r="42" spans="1:39" ht="15.75" customHeight="1">
      <c r="A42" s="16" t="s">
        <v>663</v>
      </c>
      <c r="B42" s="16" t="s">
        <v>681</v>
      </c>
      <c r="C42" s="16">
        <v>11</v>
      </c>
      <c r="D42" s="16"/>
      <c r="E42" s="16" t="s">
        <v>679</v>
      </c>
      <c r="F42" s="16">
        <v>2020</v>
      </c>
      <c r="G42" s="51" t="s">
        <v>680</v>
      </c>
      <c r="H42" s="51"/>
      <c r="I42" s="16" t="s">
        <v>667</v>
      </c>
      <c r="J42" s="16" t="s">
        <v>605</v>
      </c>
      <c r="K42" s="16"/>
      <c r="L42" s="16"/>
      <c r="M42" s="16"/>
      <c r="N42" s="16" t="s">
        <v>669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 t="s">
        <v>670</v>
      </c>
      <c r="Z42" s="16">
        <v>9.35</v>
      </c>
      <c r="AA42" s="63" t="s">
        <v>671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</row>
    <row r="43" spans="1:39" ht="15.75" customHeight="1">
      <c r="A43" s="16" t="s">
        <v>663</v>
      </c>
      <c r="B43" s="16" t="s">
        <v>682</v>
      </c>
      <c r="C43" s="16">
        <v>11</v>
      </c>
      <c r="D43" s="16"/>
      <c r="E43" s="16" t="s">
        <v>679</v>
      </c>
      <c r="F43" s="16">
        <v>2020</v>
      </c>
      <c r="G43" s="51" t="s">
        <v>680</v>
      </c>
      <c r="H43" s="51"/>
      <c r="I43" s="16" t="s">
        <v>667</v>
      </c>
      <c r="J43" s="16" t="s">
        <v>605</v>
      </c>
      <c r="K43" s="16"/>
      <c r="L43" s="16"/>
      <c r="M43" s="16"/>
      <c r="N43" s="16" t="s">
        <v>669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 t="s">
        <v>670</v>
      </c>
      <c r="Z43" s="16">
        <v>-0.56999999999999995</v>
      </c>
      <c r="AA43" s="63" t="s">
        <v>671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</row>
    <row r="44" spans="1:39" ht="15.75" customHeight="1">
      <c r="A44" s="16" t="s">
        <v>663</v>
      </c>
      <c r="B44" s="16" t="s">
        <v>683</v>
      </c>
      <c r="C44" s="16">
        <v>11</v>
      </c>
      <c r="D44" s="16"/>
      <c r="E44" s="16" t="s">
        <v>679</v>
      </c>
      <c r="F44" s="16">
        <v>2020</v>
      </c>
      <c r="G44" s="51" t="s">
        <v>680</v>
      </c>
      <c r="H44" s="51"/>
      <c r="I44" s="16" t="s">
        <v>667</v>
      </c>
      <c r="J44" s="16" t="s">
        <v>605</v>
      </c>
      <c r="K44" s="16"/>
      <c r="L44" s="16"/>
      <c r="M44" s="16"/>
      <c r="N44" s="16" t="s">
        <v>669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 t="s">
        <v>670</v>
      </c>
      <c r="Z44" s="16">
        <v>-20.92</v>
      </c>
      <c r="AA44" s="63" t="s">
        <v>671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</row>
    <row r="45" spans="1:39" ht="15.75" customHeight="1">
      <c r="A45" s="16" t="s">
        <v>663</v>
      </c>
      <c r="B45" s="16" t="s">
        <v>684</v>
      </c>
      <c r="C45" s="16">
        <v>12</v>
      </c>
      <c r="D45" s="16"/>
      <c r="E45" s="16" t="s">
        <v>685</v>
      </c>
      <c r="F45" s="16">
        <v>2014</v>
      </c>
      <c r="G45" s="51" t="s">
        <v>686</v>
      </c>
      <c r="H45" s="16"/>
      <c r="I45" s="16" t="s">
        <v>667</v>
      </c>
      <c r="J45" s="16" t="s">
        <v>605</v>
      </c>
      <c r="K45" s="16"/>
      <c r="L45" s="16"/>
      <c r="M45" s="16"/>
      <c r="N45" s="16" t="s">
        <v>669</v>
      </c>
      <c r="O45" s="16" t="s">
        <v>595</v>
      </c>
      <c r="P45" s="16"/>
      <c r="Q45" s="16"/>
      <c r="R45" s="16"/>
      <c r="S45" s="16"/>
      <c r="T45" s="16"/>
      <c r="U45" s="16"/>
      <c r="V45" s="16"/>
      <c r="W45" s="16"/>
      <c r="X45" s="16"/>
      <c r="Y45" s="16" t="s">
        <v>687</v>
      </c>
      <c r="Z45" s="16" t="s">
        <v>688</v>
      </c>
      <c r="AA45" s="63" t="s">
        <v>671</v>
      </c>
      <c r="AB45" s="16" t="s">
        <v>689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39" ht="15.75" customHeight="1">
      <c r="A46" s="16" t="s">
        <v>663</v>
      </c>
      <c r="B46" s="16" t="s">
        <v>690</v>
      </c>
      <c r="C46" s="16">
        <v>12</v>
      </c>
      <c r="D46" s="16"/>
      <c r="E46" s="16" t="s">
        <v>685</v>
      </c>
      <c r="F46" s="16">
        <v>2015</v>
      </c>
      <c r="G46" s="51" t="s">
        <v>686</v>
      </c>
      <c r="H46" s="16"/>
      <c r="I46" s="16" t="s">
        <v>667</v>
      </c>
      <c r="J46" s="16" t="s">
        <v>605</v>
      </c>
      <c r="K46" s="16"/>
      <c r="L46" s="16"/>
      <c r="M46" s="16"/>
      <c r="N46" s="16" t="s">
        <v>669</v>
      </c>
      <c r="O46" s="16" t="s">
        <v>595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v>-18</v>
      </c>
      <c r="AA46" s="63" t="s">
        <v>671</v>
      </c>
      <c r="AB46" s="16" t="s">
        <v>691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</row>
    <row r="47" spans="1:39" ht="15.75" customHeight="1">
      <c r="A47" s="16" t="s">
        <v>663</v>
      </c>
      <c r="B47" s="16" t="s">
        <v>692</v>
      </c>
      <c r="C47" s="16">
        <v>13</v>
      </c>
      <c r="D47" s="16"/>
      <c r="E47" s="16" t="s">
        <v>693</v>
      </c>
      <c r="F47" s="16">
        <v>2021</v>
      </c>
      <c r="G47" s="51" t="s">
        <v>694</v>
      </c>
      <c r="H47" s="16"/>
      <c r="I47" s="16" t="s">
        <v>667</v>
      </c>
      <c r="J47" s="16" t="s">
        <v>605</v>
      </c>
      <c r="K47" s="16"/>
      <c r="L47" s="16"/>
      <c r="M47" s="16"/>
      <c r="N47" s="16" t="s">
        <v>669</v>
      </c>
      <c r="O47" s="16" t="s">
        <v>695</v>
      </c>
      <c r="P47" s="16"/>
      <c r="Q47" s="16"/>
      <c r="R47" s="16"/>
      <c r="S47" s="16"/>
      <c r="T47" s="16"/>
      <c r="U47" s="16"/>
      <c r="V47" s="16"/>
      <c r="W47" s="16"/>
      <c r="X47" s="16"/>
      <c r="Y47" s="16">
        <v>12.96</v>
      </c>
      <c r="Z47" s="16" t="s">
        <v>696</v>
      </c>
      <c r="AA47" s="63" t="s">
        <v>671</v>
      </c>
      <c r="AB47" s="16" t="s">
        <v>697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</row>
    <row r="48" spans="1:39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62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1:3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62"/>
      <c r="AB49" s="16"/>
      <c r="AC49" s="16"/>
      <c r="AE49" s="16"/>
      <c r="AF49" s="16"/>
      <c r="AG49" s="16"/>
      <c r="AH49" s="16"/>
      <c r="AI49" s="16"/>
      <c r="AJ49" s="16"/>
      <c r="AK49" s="16"/>
      <c r="AL49" s="16"/>
      <c r="AM49" s="16"/>
    </row>
    <row r="50" spans="1:39" ht="15.75" customHeight="1">
      <c r="A50" s="16" t="s">
        <v>698</v>
      </c>
      <c r="B50" s="16" t="s">
        <v>699</v>
      </c>
      <c r="C50" s="16">
        <v>14</v>
      </c>
      <c r="D50" s="16"/>
      <c r="E50" s="16" t="s">
        <v>700</v>
      </c>
      <c r="F50" s="16">
        <v>2004</v>
      </c>
      <c r="G50" s="51" t="s">
        <v>701</v>
      </c>
      <c r="H50" s="16"/>
      <c r="I50" s="16" t="s">
        <v>667</v>
      </c>
      <c r="J50" s="16" t="s">
        <v>605</v>
      </c>
      <c r="K50" s="16"/>
      <c r="L50" s="16"/>
      <c r="M50" s="16"/>
      <c r="N50" s="16" t="s">
        <v>702</v>
      </c>
      <c r="O50" s="16" t="s">
        <v>656</v>
      </c>
      <c r="P50" s="16"/>
      <c r="Q50" s="16"/>
      <c r="R50" s="16" t="s">
        <v>703</v>
      </c>
      <c r="S50" s="16"/>
      <c r="T50" s="16"/>
      <c r="U50" s="16">
        <v>145</v>
      </c>
      <c r="V50" s="16">
        <v>8</v>
      </c>
      <c r="W50" s="16"/>
      <c r="X50" s="16"/>
      <c r="Y50" s="16" t="s">
        <v>704</v>
      </c>
      <c r="Z50" s="16">
        <v>-1.86</v>
      </c>
      <c r="AA50" s="62"/>
      <c r="AB50" s="16"/>
      <c r="AC50" s="16"/>
      <c r="AE50" s="16"/>
      <c r="AF50" s="16"/>
      <c r="AG50" s="16"/>
      <c r="AH50" s="16"/>
      <c r="AI50" s="16"/>
      <c r="AJ50" s="16"/>
      <c r="AK50" s="16"/>
      <c r="AL50" s="16"/>
      <c r="AM50" s="16"/>
    </row>
    <row r="51" spans="1:39" ht="15.75" customHeight="1">
      <c r="A51" s="16" t="s">
        <v>698</v>
      </c>
      <c r="B51" s="16" t="s">
        <v>705</v>
      </c>
      <c r="C51" s="16">
        <v>14</v>
      </c>
      <c r="D51" s="16"/>
      <c r="E51" s="16" t="s">
        <v>700</v>
      </c>
      <c r="F51" s="16">
        <v>2004</v>
      </c>
      <c r="G51" s="51" t="s">
        <v>701</v>
      </c>
      <c r="H51" s="16"/>
      <c r="I51" s="16" t="s">
        <v>667</v>
      </c>
      <c r="J51" s="16" t="s">
        <v>605</v>
      </c>
      <c r="K51" s="16"/>
      <c r="L51" s="16"/>
      <c r="M51" s="16"/>
      <c r="N51" s="16" t="s">
        <v>706</v>
      </c>
      <c r="O51" s="16" t="s">
        <v>707</v>
      </c>
      <c r="P51" s="16"/>
      <c r="Q51" s="16"/>
      <c r="R51" s="16" t="s">
        <v>703</v>
      </c>
      <c r="S51" s="16"/>
      <c r="T51" s="16"/>
      <c r="U51" s="16">
        <v>8</v>
      </c>
      <c r="V51" s="16">
        <v>8</v>
      </c>
      <c r="W51" s="16"/>
      <c r="X51" s="16"/>
      <c r="Y51" s="16" t="s">
        <v>704</v>
      </c>
      <c r="Z51" s="16">
        <v>1.45</v>
      </c>
      <c r="AA51" s="62"/>
      <c r="AB51" s="16"/>
      <c r="AC51" s="16"/>
      <c r="AE51" s="16"/>
      <c r="AF51" s="16"/>
      <c r="AG51" s="16"/>
      <c r="AH51" s="16"/>
      <c r="AI51" s="16"/>
      <c r="AJ51" s="16"/>
      <c r="AK51" s="16"/>
      <c r="AL51" s="16"/>
      <c r="AM51" s="16"/>
    </row>
    <row r="52" spans="1:39" ht="15.75" customHeight="1">
      <c r="A52" s="16" t="s">
        <v>698</v>
      </c>
      <c r="B52" s="16" t="s">
        <v>708</v>
      </c>
      <c r="C52" s="16">
        <v>15</v>
      </c>
      <c r="D52" s="16"/>
      <c r="E52" s="16" t="s">
        <v>709</v>
      </c>
      <c r="F52" s="16">
        <v>2019</v>
      </c>
      <c r="G52" s="51" t="s">
        <v>710</v>
      </c>
      <c r="H52" s="16"/>
      <c r="I52" s="16" t="s">
        <v>667</v>
      </c>
      <c r="J52" s="16" t="s">
        <v>605</v>
      </c>
      <c r="K52" s="16"/>
      <c r="L52" s="16"/>
      <c r="M52" s="16"/>
      <c r="N52" s="16" t="s">
        <v>711</v>
      </c>
      <c r="O52" s="16" t="s">
        <v>711</v>
      </c>
      <c r="P52" s="16"/>
      <c r="Q52" s="16"/>
      <c r="R52" s="16" t="s">
        <v>711</v>
      </c>
      <c r="S52" s="16"/>
      <c r="T52" s="16"/>
      <c r="U52" s="16" t="s">
        <v>711</v>
      </c>
      <c r="V52" s="16" t="s">
        <v>711</v>
      </c>
      <c r="W52" s="16"/>
      <c r="X52" s="16"/>
      <c r="Y52" s="16" t="s">
        <v>704</v>
      </c>
      <c r="Z52" s="16">
        <v>0.18</v>
      </c>
      <c r="AA52" s="62"/>
      <c r="AB52" s="16"/>
      <c r="AC52" s="16"/>
      <c r="AE52" s="16"/>
      <c r="AF52" s="16"/>
      <c r="AG52" s="16"/>
      <c r="AH52" s="16"/>
      <c r="AI52" s="16"/>
      <c r="AJ52" s="16"/>
      <c r="AK52" s="16"/>
      <c r="AL52" s="16"/>
      <c r="AM52" s="16"/>
    </row>
    <row r="53" spans="1:39" ht="15.75" customHeight="1">
      <c r="A53" s="16" t="s">
        <v>698</v>
      </c>
      <c r="B53" s="16" t="s">
        <v>712</v>
      </c>
      <c r="C53" s="16">
        <v>16</v>
      </c>
      <c r="D53" s="16"/>
      <c r="E53" s="16" t="s">
        <v>713</v>
      </c>
      <c r="F53" s="16">
        <v>2023</v>
      </c>
      <c r="G53" s="51" t="s">
        <v>641</v>
      </c>
      <c r="H53" s="16"/>
      <c r="I53" s="16" t="s">
        <v>667</v>
      </c>
      <c r="J53" s="16" t="s">
        <v>605</v>
      </c>
      <c r="K53" s="16"/>
      <c r="L53" s="16"/>
      <c r="M53" s="16"/>
      <c r="N53" s="16" t="s">
        <v>714</v>
      </c>
      <c r="O53" s="16" t="s">
        <v>595</v>
      </c>
      <c r="P53" s="16"/>
      <c r="Q53" s="16"/>
      <c r="R53" s="16" t="s">
        <v>711</v>
      </c>
      <c r="S53" s="16"/>
      <c r="T53" s="16"/>
      <c r="U53" s="16"/>
      <c r="V53" s="16" t="s">
        <v>715</v>
      </c>
      <c r="W53" s="16"/>
      <c r="X53" s="16">
        <v>157</v>
      </c>
      <c r="Y53" s="16" t="s">
        <v>704</v>
      </c>
      <c r="Z53" s="16" t="s">
        <v>716</v>
      </c>
      <c r="AA53" s="62" t="s">
        <v>717</v>
      </c>
      <c r="AB53" s="16" t="s">
        <v>718</v>
      </c>
      <c r="AC53" s="16"/>
      <c r="AE53" s="16"/>
      <c r="AF53" s="16"/>
      <c r="AG53" s="16"/>
      <c r="AH53" s="16"/>
      <c r="AI53" s="16"/>
      <c r="AJ53" s="16"/>
      <c r="AK53" s="16"/>
      <c r="AL53" s="16"/>
      <c r="AM53" s="16"/>
    </row>
    <row r="54" spans="1:39" ht="15.75" customHeight="1">
      <c r="A54" s="16" t="s">
        <v>698</v>
      </c>
      <c r="B54" s="16" t="s">
        <v>719</v>
      </c>
      <c r="C54" s="16">
        <v>16</v>
      </c>
      <c r="D54" s="16"/>
      <c r="E54" s="16" t="s">
        <v>713</v>
      </c>
      <c r="F54" s="16">
        <v>2023</v>
      </c>
      <c r="G54" s="51" t="s">
        <v>641</v>
      </c>
      <c r="H54" s="16"/>
      <c r="I54" s="16" t="s">
        <v>667</v>
      </c>
      <c r="J54" s="16" t="s">
        <v>605</v>
      </c>
      <c r="K54" s="16"/>
      <c r="L54" s="16"/>
      <c r="M54" s="16"/>
      <c r="N54" s="16" t="s">
        <v>714</v>
      </c>
      <c r="O54" s="16" t="s">
        <v>595</v>
      </c>
      <c r="P54" s="16"/>
      <c r="Q54" s="16"/>
      <c r="R54" s="16" t="s">
        <v>711</v>
      </c>
      <c r="S54" s="16"/>
      <c r="T54" s="16"/>
      <c r="U54" s="16"/>
      <c r="V54" s="16" t="s">
        <v>715</v>
      </c>
      <c r="W54" s="16"/>
      <c r="X54" s="16">
        <v>157</v>
      </c>
      <c r="Y54" s="16" t="s">
        <v>704</v>
      </c>
      <c r="Z54" s="16" t="s">
        <v>614</v>
      </c>
      <c r="AA54" s="62" t="s">
        <v>717</v>
      </c>
      <c r="AB54" s="16"/>
      <c r="AC54" s="16"/>
      <c r="AE54" s="16"/>
      <c r="AF54" s="16"/>
      <c r="AG54" s="16"/>
      <c r="AH54" s="16"/>
      <c r="AI54" s="16"/>
      <c r="AJ54" s="16"/>
      <c r="AK54" s="16"/>
      <c r="AL54" s="16"/>
      <c r="AM54" s="16"/>
    </row>
    <row r="55" spans="1:39" ht="15.75" customHeight="1">
      <c r="A55" s="16" t="s">
        <v>698</v>
      </c>
      <c r="B55" s="16" t="s">
        <v>720</v>
      </c>
      <c r="C55" s="16">
        <v>16</v>
      </c>
      <c r="D55" s="16"/>
      <c r="E55" s="16" t="s">
        <v>713</v>
      </c>
      <c r="F55" s="16">
        <v>2023</v>
      </c>
      <c r="G55" s="51" t="s">
        <v>641</v>
      </c>
      <c r="H55" s="16"/>
      <c r="I55" s="16" t="s">
        <v>667</v>
      </c>
      <c r="J55" s="16" t="s">
        <v>605</v>
      </c>
      <c r="K55" s="16"/>
      <c r="L55" s="16"/>
      <c r="M55" s="16"/>
      <c r="N55" s="16" t="s">
        <v>721</v>
      </c>
      <c r="O55" s="16" t="s">
        <v>722</v>
      </c>
      <c r="P55" s="16"/>
      <c r="Q55" s="16"/>
      <c r="R55" s="16" t="s">
        <v>711</v>
      </c>
      <c r="S55" s="16"/>
      <c r="T55" s="16"/>
      <c r="U55" s="16"/>
      <c r="V55" s="16" t="s">
        <v>715</v>
      </c>
      <c r="W55" s="16"/>
      <c r="X55" s="16">
        <v>97</v>
      </c>
      <c r="Y55" s="16" t="s">
        <v>704</v>
      </c>
      <c r="Z55" s="16" t="s">
        <v>716</v>
      </c>
      <c r="AA55" s="62" t="s">
        <v>717</v>
      </c>
      <c r="AB55" s="16" t="s">
        <v>723</v>
      </c>
      <c r="AC55" s="16"/>
      <c r="AE55" s="16"/>
      <c r="AF55" s="16"/>
      <c r="AG55" s="16"/>
      <c r="AH55" s="16"/>
      <c r="AI55" s="16"/>
      <c r="AJ55" s="16"/>
      <c r="AK55" s="16"/>
      <c r="AL55" s="16"/>
      <c r="AM55" s="16"/>
    </row>
    <row r="56" spans="1:39" ht="15.75" customHeight="1">
      <c r="A56" s="16" t="s">
        <v>698</v>
      </c>
      <c r="B56" s="16" t="s">
        <v>724</v>
      </c>
      <c r="C56" s="16">
        <v>16</v>
      </c>
      <c r="D56" s="16"/>
      <c r="E56" s="16" t="s">
        <v>713</v>
      </c>
      <c r="F56" s="16">
        <v>2023</v>
      </c>
      <c r="G56" s="51" t="s">
        <v>641</v>
      </c>
      <c r="H56" s="16"/>
      <c r="I56" s="16" t="s">
        <v>667</v>
      </c>
      <c r="J56" s="16" t="s">
        <v>605</v>
      </c>
      <c r="K56" s="16"/>
      <c r="L56" s="16"/>
      <c r="M56" s="16"/>
      <c r="N56" s="16" t="s">
        <v>721</v>
      </c>
      <c r="O56" s="16" t="s">
        <v>722</v>
      </c>
      <c r="P56" s="16"/>
      <c r="Q56" s="16"/>
      <c r="R56" s="16" t="s">
        <v>711</v>
      </c>
      <c r="S56" s="16"/>
      <c r="T56" s="16"/>
      <c r="U56" s="16"/>
      <c r="V56" s="16" t="s">
        <v>715</v>
      </c>
      <c r="W56" s="16"/>
      <c r="X56" s="16">
        <v>97</v>
      </c>
      <c r="Y56" s="16" t="s">
        <v>704</v>
      </c>
      <c r="Z56" s="16" t="s">
        <v>614</v>
      </c>
      <c r="AA56" s="62" t="s">
        <v>717</v>
      </c>
      <c r="AB56" s="16"/>
      <c r="AC56" s="16"/>
      <c r="AE56" s="16"/>
      <c r="AF56" s="16"/>
      <c r="AG56" s="16"/>
      <c r="AH56" s="16"/>
      <c r="AI56" s="16"/>
      <c r="AJ56" s="16"/>
      <c r="AK56" s="16"/>
      <c r="AL56" s="16"/>
      <c r="AM56" s="16"/>
    </row>
    <row r="59" spans="1:39" ht="15.95">
      <c r="A59" s="34" t="s">
        <v>45</v>
      </c>
      <c r="W59" s="7"/>
      <c r="X59" s="7"/>
    </row>
    <row r="60" spans="1:39" ht="15.95">
      <c r="A60" t="s">
        <v>725</v>
      </c>
      <c r="B60" t="s">
        <v>726</v>
      </c>
      <c r="C60" s="16"/>
      <c r="D60" s="16"/>
      <c r="E60" s="16" t="s">
        <v>727</v>
      </c>
      <c r="F60" s="16">
        <v>2007</v>
      </c>
      <c r="G60" s="16" t="s">
        <v>728</v>
      </c>
      <c r="H60" s="16" t="s">
        <v>729</v>
      </c>
      <c r="I60" s="16" t="s">
        <v>592</v>
      </c>
      <c r="J60" s="16" t="s">
        <v>605</v>
      </c>
      <c r="K60" s="16" t="s">
        <v>730</v>
      </c>
      <c r="L60" s="16"/>
      <c r="M60" s="16"/>
      <c r="N60" s="16" t="s">
        <v>731</v>
      </c>
      <c r="O60" s="16" t="s">
        <v>595</v>
      </c>
      <c r="P60" s="16"/>
      <c r="Q60" s="16"/>
      <c r="R60" s="16" t="s">
        <v>732</v>
      </c>
      <c r="S60" s="16" t="s">
        <v>733</v>
      </c>
      <c r="T60" s="16"/>
      <c r="U60" s="16" t="s">
        <v>734</v>
      </c>
      <c r="V60" s="16"/>
      <c r="W60" s="16"/>
      <c r="X60" s="16"/>
      <c r="Y60" s="17" t="s">
        <v>735</v>
      </c>
      <c r="Z60" s="16"/>
      <c r="AB60" s="16"/>
      <c r="AC60" s="16"/>
      <c r="AD60" s="16"/>
      <c r="AE60" s="16"/>
      <c r="AF60" s="16"/>
      <c r="AG60" s="16"/>
      <c r="AH60" s="16" t="s">
        <v>736</v>
      </c>
      <c r="AI60" s="16" t="s">
        <v>736</v>
      </c>
      <c r="AJ60" s="16" t="s">
        <v>736</v>
      </c>
      <c r="AK60" s="16" t="s">
        <v>736</v>
      </c>
      <c r="AL60" s="16" t="s">
        <v>736</v>
      </c>
    </row>
    <row r="61" spans="1:39" ht="15.95">
      <c r="A61" t="s">
        <v>725</v>
      </c>
      <c r="B61" t="s">
        <v>46</v>
      </c>
      <c r="C61" s="16"/>
      <c r="D61" s="16"/>
      <c r="E61" s="16" t="s">
        <v>727</v>
      </c>
      <c r="F61" s="16">
        <v>2007</v>
      </c>
      <c r="G61" s="16" t="s">
        <v>728</v>
      </c>
      <c r="H61" s="16" t="s">
        <v>729</v>
      </c>
      <c r="I61" s="16" t="s">
        <v>592</v>
      </c>
      <c r="J61" s="16" t="s">
        <v>605</v>
      </c>
      <c r="K61" s="16" t="s">
        <v>730</v>
      </c>
      <c r="L61" s="16"/>
      <c r="M61" s="16"/>
      <c r="N61" s="16" t="s">
        <v>731</v>
      </c>
      <c r="O61" s="16" t="s">
        <v>595</v>
      </c>
      <c r="P61" s="16"/>
      <c r="Q61" s="16"/>
      <c r="R61" s="16" t="s">
        <v>732</v>
      </c>
      <c r="S61" s="16">
        <v>9</v>
      </c>
      <c r="T61" s="16"/>
      <c r="U61" s="16" t="s">
        <v>737</v>
      </c>
      <c r="V61" s="16"/>
      <c r="W61" s="16"/>
      <c r="X61" s="16"/>
      <c r="Y61" s="16">
        <v>0</v>
      </c>
      <c r="Z61" s="16"/>
      <c r="AB61" s="16"/>
      <c r="AC61" s="16"/>
      <c r="AD61" s="16"/>
      <c r="AE61" s="16"/>
      <c r="AF61" s="16"/>
      <c r="AG61" s="16"/>
      <c r="AH61" s="16" t="s">
        <v>736</v>
      </c>
      <c r="AI61" s="16" t="s">
        <v>736</v>
      </c>
      <c r="AJ61" s="16" t="s">
        <v>736</v>
      </c>
      <c r="AK61" s="16" t="s">
        <v>736</v>
      </c>
      <c r="AL61" s="16" t="s">
        <v>736</v>
      </c>
    </row>
    <row r="62" spans="1:39" ht="15.95">
      <c r="A62" t="s">
        <v>738</v>
      </c>
      <c r="B62" t="s">
        <v>739</v>
      </c>
      <c r="E62" t="s">
        <v>740</v>
      </c>
      <c r="F62">
        <v>2019</v>
      </c>
      <c r="G62" t="s">
        <v>57</v>
      </c>
      <c r="J62" t="s">
        <v>741</v>
      </c>
      <c r="K62" t="s">
        <v>742</v>
      </c>
      <c r="N62" t="s">
        <v>743</v>
      </c>
      <c r="O62" t="s">
        <v>744</v>
      </c>
      <c r="R62" t="s">
        <v>743</v>
      </c>
      <c r="S62" s="7">
        <v>2045</v>
      </c>
      <c r="T62" s="8" t="s">
        <v>739</v>
      </c>
      <c r="U62" s="16" t="s">
        <v>734</v>
      </c>
      <c r="V62" t="s">
        <v>745</v>
      </c>
      <c r="Y62" t="s">
        <v>746</v>
      </c>
      <c r="AH62" s="16" t="s">
        <v>736</v>
      </c>
      <c r="AI62" s="16" t="s">
        <v>736</v>
      </c>
      <c r="AJ62" s="16" t="s">
        <v>736</v>
      </c>
      <c r="AK62" s="16" t="s">
        <v>736</v>
      </c>
      <c r="AL62" s="16" t="s">
        <v>736</v>
      </c>
    </row>
    <row r="63" spans="1:39" ht="15.95">
      <c r="A63" t="s">
        <v>738</v>
      </c>
      <c r="B63" t="s">
        <v>747</v>
      </c>
      <c r="E63" t="s">
        <v>740</v>
      </c>
      <c r="F63">
        <v>2019</v>
      </c>
      <c r="G63" t="s">
        <v>57</v>
      </c>
      <c r="J63" t="s">
        <v>741</v>
      </c>
      <c r="K63" t="s">
        <v>742</v>
      </c>
      <c r="N63" t="s">
        <v>743</v>
      </c>
      <c r="O63" t="s">
        <v>744</v>
      </c>
      <c r="R63" t="s">
        <v>743</v>
      </c>
      <c r="S63" s="7">
        <v>2045</v>
      </c>
      <c r="T63" s="8" t="s">
        <v>747</v>
      </c>
      <c r="U63" s="16" t="s">
        <v>734</v>
      </c>
      <c r="V63" t="s">
        <v>745</v>
      </c>
      <c r="Y63" t="s">
        <v>748</v>
      </c>
      <c r="AH63" s="16" t="s">
        <v>736</v>
      </c>
      <c r="AI63" s="16" t="s">
        <v>736</v>
      </c>
      <c r="AJ63" s="16" t="s">
        <v>736</v>
      </c>
      <c r="AK63" s="16" t="s">
        <v>736</v>
      </c>
      <c r="AL63" s="16" t="s">
        <v>736</v>
      </c>
    </row>
    <row r="64" spans="1:39" ht="15.95">
      <c r="A64" t="s">
        <v>738</v>
      </c>
      <c r="B64" t="s">
        <v>749</v>
      </c>
      <c r="E64" t="s">
        <v>740</v>
      </c>
      <c r="F64">
        <v>2019</v>
      </c>
      <c r="G64" t="s">
        <v>57</v>
      </c>
      <c r="J64" t="s">
        <v>741</v>
      </c>
      <c r="K64" t="s">
        <v>742</v>
      </c>
      <c r="N64" t="s">
        <v>743</v>
      </c>
      <c r="O64" t="s">
        <v>744</v>
      </c>
      <c r="R64" t="s">
        <v>743</v>
      </c>
      <c r="S64" s="7">
        <v>2045</v>
      </c>
      <c r="T64" s="8" t="s">
        <v>749</v>
      </c>
      <c r="U64" s="16" t="s">
        <v>734</v>
      </c>
      <c r="V64" t="s">
        <v>745</v>
      </c>
      <c r="Y64">
        <v>0</v>
      </c>
      <c r="AH64" s="16" t="s">
        <v>736</v>
      </c>
      <c r="AI64" s="16" t="s">
        <v>736</v>
      </c>
      <c r="AJ64" s="16" t="s">
        <v>736</v>
      </c>
      <c r="AK64" s="16" t="s">
        <v>736</v>
      </c>
      <c r="AL64" s="16" t="s">
        <v>736</v>
      </c>
    </row>
    <row r="65" spans="1:30" ht="15.95">
      <c r="A65" t="s">
        <v>738</v>
      </c>
      <c r="B65" t="s">
        <v>750</v>
      </c>
      <c r="E65" t="s">
        <v>751</v>
      </c>
      <c r="F65">
        <v>2023</v>
      </c>
      <c r="G65" t="s">
        <v>752</v>
      </c>
      <c r="H65">
        <v>2018</v>
      </c>
      <c r="J65" t="s">
        <v>753</v>
      </c>
      <c r="N65" t="s">
        <v>743</v>
      </c>
      <c r="O65" t="s">
        <v>754</v>
      </c>
      <c r="R65" t="s">
        <v>754</v>
      </c>
      <c r="T65" s="8" t="s">
        <v>750</v>
      </c>
      <c r="U65" s="16" t="s">
        <v>734</v>
      </c>
      <c r="Y65">
        <v>0</v>
      </c>
    </row>
    <row r="66" spans="1:30" ht="15.95">
      <c r="A66" t="s">
        <v>738</v>
      </c>
      <c r="B66" t="s">
        <v>755</v>
      </c>
      <c r="E66" t="s">
        <v>751</v>
      </c>
      <c r="F66">
        <v>2023</v>
      </c>
      <c r="G66" t="s">
        <v>752</v>
      </c>
      <c r="H66">
        <v>2018</v>
      </c>
      <c r="J66" t="s">
        <v>753</v>
      </c>
      <c r="N66" t="s">
        <v>743</v>
      </c>
      <c r="O66" t="s">
        <v>754</v>
      </c>
      <c r="R66" t="s">
        <v>754</v>
      </c>
      <c r="T66" s="8" t="s">
        <v>755</v>
      </c>
      <c r="U66" s="16" t="s">
        <v>734</v>
      </c>
      <c r="Y66" t="s">
        <v>756</v>
      </c>
    </row>
    <row r="67" spans="1:30">
      <c r="A67" s="16" t="s">
        <v>738</v>
      </c>
      <c r="B67" s="16" t="s">
        <v>757</v>
      </c>
      <c r="C67" s="16"/>
      <c r="D67" s="16"/>
      <c r="E67" s="16" t="s">
        <v>758</v>
      </c>
      <c r="F67" s="16">
        <v>2019</v>
      </c>
      <c r="G67" s="16" t="s">
        <v>759</v>
      </c>
      <c r="H67" s="16"/>
      <c r="I67" s="16" t="s">
        <v>592</v>
      </c>
      <c r="J67" s="16" t="s">
        <v>605</v>
      </c>
      <c r="K67" s="16"/>
      <c r="L67" s="16"/>
      <c r="M67" s="16"/>
      <c r="N67" s="16" t="s">
        <v>760</v>
      </c>
      <c r="O67" s="16" t="s">
        <v>761</v>
      </c>
      <c r="P67" s="16"/>
      <c r="Q67" s="16"/>
      <c r="R67" s="16"/>
      <c r="S67" s="16"/>
      <c r="T67" s="73" t="s">
        <v>755</v>
      </c>
      <c r="U67" s="16" t="s">
        <v>711</v>
      </c>
      <c r="V67" s="16" t="s">
        <v>762</v>
      </c>
      <c r="W67" s="16"/>
      <c r="X67" s="16"/>
      <c r="Y67" s="16">
        <v>5.7</v>
      </c>
      <c r="Z67" s="16"/>
      <c r="AA67" s="16" t="s">
        <v>763</v>
      </c>
      <c r="AB67" s="16"/>
      <c r="AC67" s="16"/>
      <c r="AD67" s="16"/>
    </row>
    <row r="68" spans="1:30">
      <c r="A68" s="16" t="s">
        <v>764</v>
      </c>
      <c r="B68" s="16" t="s">
        <v>765</v>
      </c>
      <c r="C68" s="16"/>
      <c r="D68" s="16"/>
      <c r="E68" s="16" t="s">
        <v>766</v>
      </c>
      <c r="F68" s="16">
        <v>2007</v>
      </c>
      <c r="G68" s="16" t="s">
        <v>610</v>
      </c>
      <c r="H68" s="16"/>
      <c r="I68" s="16" t="s">
        <v>592</v>
      </c>
      <c r="J68" s="16" t="s">
        <v>767</v>
      </c>
      <c r="K68" s="16"/>
      <c r="L68" s="16"/>
      <c r="M68" s="16"/>
      <c r="N68" s="16" t="s">
        <v>768</v>
      </c>
      <c r="O68" s="16" t="s">
        <v>769</v>
      </c>
      <c r="P68" s="16"/>
      <c r="Q68" s="16"/>
      <c r="R68" s="16"/>
      <c r="S68" s="16"/>
      <c r="T68" s="16" t="s">
        <v>764</v>
      </c>
      <c r="U68" s="16" t="s">
        <v>711</v>
      </c>
      <c r="V68" s="16" t="s">
        <v>770</v>
      </c>
      <c r="W68" s="16"/>
      <c r="X68" s="16"/>
      <c r="Y68" s="16">
        <v>-0.27</v>
      </c>
      <c r="Z68" s="16"/>
      <c r="AA68" s="16"/>
      <c r="AB68" s="16"/>
      <c r="AC68" s="16"/>
      <c r="AD68" s="16"/>
    </row>
    <row r="69" spans="1:30">
      <c r="A69" s="16" t="s">
        <v>771</v>
      </c>
      <c r="B69" s="16" t="s">
        <v>765</v>
      </c>
      <c r="C69" s="16"/>
      <c r="D69" s="16"/>
      <c r="E69" s="16" t="s">
        <v>766</v>
      </c>
      <c r="F69" s="16">
        <v>2007</v>
      </c>
      <c r="G69" s="16" t="s">
        <v>610</v>
      </c>
      <c r="H69" s="16"/>
      <c r="I69" s="16" t="s">
        <v>592</v>
      </c>
      <c r="J69" s="16" t="s">
        <v>767</v>
      </c>
      <c r="K69" s="16"/>
      <c r="L69" s="16"/>
      <c r="M69" s="16"/>
      <c r="N69" s="16" t="s">
        <v>768</v>
      </c>
      <c r="O69" s="16" t="s">
        <v>769</v>
      </c>
      <c r="P69" s="16"/>
      <c r="Q69" s="16"/>
      <c r="R69" s="16"/>
      <c r="S69" s="16"/>
      <c r="T69" s="16" t="s">
        <v>771</v>
      </c>
      <c r="U69" s="16" t="s">
        <v>711</v>
      </c>
      <c r="V69" s="16" t="s">
        <v>770</v>
      </c>
      <c r="W69" s="16"/>
      <c r="X69" s="16"/>
      <c r="Y69" s="16">
        <v>0.27</v>
      </c>
      <c r="Z69" s="16"/>
      <c r="AA69" s="16"/>
      <c r="AB69" s="16"/>
      <c r="AC69" s="16"/>
      <c r="AD69" s="16"/>
    </row>
    <row r="70" spans="1:30">
      <c r="A70" s="16" t="s">
        <v>772</v>
      </c>
      <c r="B70" s="16" t="s">
        <v>765</v>
      </c>
      <c r="C70" s="16"/>
      <c r="D70" s="16"/>
      <c r="E70" s="16" t="s">
        <v>766</v>
      </c>
      <c r="F70" s="16">
        <v>2007</v>
      </c>
      <c r="G70" s="16" t="s">
        <v>610</v>
      </c>
      <c r="H70" s="16"/>
      <c r="I70" s="16" t="s">
        <v>592</v>
      </c>
      <c r="J70" s="16" t="s">
        <v>767</v>
      </c>
      <c r="K70" s="16"/>
      <c r="L70" s="16"/>
      <c r="M70" s="16"/>
      <c r="N70" s="16" t="s">
        <v>768</v>
      </c>
      <c r="O70" s="16" t="s">
        <v>773</v>
      </c>
      <c r="P70" s="16"/>
      <c r="Q70" s="16"/>
      <c r="R70" s="16"/>
      <c r="S70" s="16"/>
      <c r="T70" s="16" t="s">
        <v>772</v>
      </c>
      <c r="U70" s="16" t="s">
        <v>711</v>
      </c>
      <c r="V70" s="16" t="s">
        <v>770</v>
      </c>
      <c r="W70" s="16"/>
      <c r="X70" s="16"/>
      <c r="Y70" s="16">
        <v>-0.11</v>
      </c>
      <c r="Z70" s="16"/>
      <c r="AA70" s="16"/>
      <c r="AB70" s="16"/>
      <c r="AC70" s="16"/>
      <c r="AD70" s="16"/>
    </row>
    <row r="71" spans="1:30">
      <c r="A71" s="16" t="s">
        <v>774</v>
      </c>
      <c r="B71" s="16" t="s">
        <v>765</v>
      </c>
      <c r="C71" s="16"/>
      <c r="D71" s="16"/>
      <c r="E71" s="16" t="s">
        <v>766</v>
      </c>
      <c r="F71" s="16">
        <v>2007</v>
      </c>
      <c r="G71" s="16" t="s">
        <v>610</v>
      </c>
      <c r="H71" s="16"/>
      <c r="I71" s="16" t="s">
        <v>592</v>
      </c>
      <c r="J71" s="16" t="s">
        <v>767</v>
      </c>
      <c r="K71" s="16"/>
      <c r="L71" s="16"/>
      <c r="M71" s="16"/>
      <c r="N71" s="16" t="s">
        <v>768</v>
      </c>
      <c r="O71" s="16" t="s">
        <v>769</v>
      </c>
      <c r="P71" s="16"/>
      <c r="Q71" s="16"/>
      <c r="R71" s="16"/>
      <c r="S71" s="16"/>
      <c r="T71" s="16" t="s">
        <v>774</v>
      </c>
      <c r="U71" s="16" t="s">
        <v>711</v>
      </c>
      <c r="V71" s="16" t="s">
        <v>770</v>
      </c>
      <c r="W71" s="16"/>
      <c r="X71" s="16"/>
      <c r="Y71" s="16">
        <v>1.35</v>
      </c>
      <c r="Z71" s="16"/>
      <c r="AA71" s="16"/>
      <c r="AB71" s="16"/>
      <c r="AC71" s="16"/>
      <c r="AD71" s="16"/>
    </row>
    <row r="72" spans="1:30">
      <c r="A72" s="16" t="s">
        <v>775</v>
      </c>
      <c r="B72" s="16" t="s">
        <v>776</v>
      </c>
      <c r="C72" s="16"/>
      <c r="D72" s="16"/>
      <c r="E72" s="16" t="s">
        <v>777</v>
      </c>
      <c r="F72" s="16">
        <v>2021</v>
      </c>
      <c r="G72" s="16" t="s">
        <v>610</v>
      </c>
      <c r="H72" s="16"/>
      <c r="I72" s="16" t="s">
        <v>592</v>
      </c>
      <c r="J72" s="16" t="s">
        <v>605</v>
      </c>
      <c r="K72" s="16"/>
      <c r="L72" s="16"/>
      <c r="M72" s="16"/>
      <c r="N72" s="16" t="s">
        <v>778</v>
      </c>
      <c r="O72" s="16" t="s">
        <v>779</v>
      </c>
      <c r="P72" s="16"/>
      <c r="Q72" s="16"/>
      <c r="R72" s="16"/>
      <c r="S72" s="16"/>
      <c r="T72" s="73"/>
      <c r="U72" s="16" t="s">
        <v>780</v>
      </c>
      <c r="V72" s="16"/>
      <c r="W72" s="16"/>
      <c r="X72" s="16"/>
      <c r="Y72" s="16" t="s">
        <v>781</v>
      </c>
      <c r="Z72" s="16" t="s">
        <v>782</v>
      </c>
      <c r="AA72" s="16"/>
      <c r="AB72" s="16"/>
      <c r="AC72" s="16"/>
      <c r="AD72" s="16"/>
    </row>
    <row r="73" spans="1:30" ht="15.95">
      <c r="A73" t="s">
        <v>783</v>
      </c>
      <c r="B73" t="s">
        <v>784</v>
      </c>
      <c r="E73" t="s">
        <v>785</v>
      </c>
      <c r="F73">
        <v>2023</v>
      </c>
      <c r="G73" t="s">
        <v>57</v>
      </c>
      <c r="J73" t="s">
        <v>786</v>
      </c>
      <c r="K73" t="s">
        <v>787</v>
      </c>
      <c r="N73" t="s">
        <v>788</v>
      </c>
      <c r="O73" s="7" t="s">
        <v>789</v>
      </c>
      <c r="R73" t="s">
        <v>743</v>
      </c>
      <c r="S73" s="7" t="s">
        <v>790</v>
      </c>
      <c r="T73" t="s">
        <v>783</v>
      </c>
      <c r="U73" s="16" t="s">
        <v>734</v>
      </c>
      <c r="V73" t="s">
        <v>791</v>
      </c>
      <c r="W73" s="65" t="s">
        <v>792</v>
      </c>
      <c r="Y73" s="65" t="s">
        <v>793</v>
      </c>
    </row>
    <row r="74" spans="1:30" ht="15.95">
      <c r="A74" t="s">
        <v>794</v>
      </c>
      <c r="B74" t="s">
        <v>795</v>
      </c>
      <c r="C74" t="s">
        <v>796</v>
      </c>
      <c r="D74" t="s">
        <v>797</v>
      </c>
      <c r="E74" t="s">
        <v>798</v>
      </c>
      <c r="F74">
        <v>2022</v>
      </c>
      <c r="G74" t="s">
        <v>799</v>
      </c>
      <c r="I74" t="s">
        <v>800</v>
      </c>
      <c r="N74" t="s">
        <v>743</v>
      </c>
      <c r="O74" s="7"/>
      <c r="R74" t="s">
        <v>743</v>
      </c>
      <c r="S74" t="s">
        <v>797</v>
      </c>
      <c r="T74" t="s">
        <v>794</v>
      </c>
      <c r="U74" s="16" t="s">
        <v>734</v>
      </c>
      <c r="V74" t="s">
        <v>801</v>
      </c>
      <c r="W74" s="65" t="s">
        <v>802</v>
      </c>
      <c r="Y74" s="65"/>
    </row>
    <row r="75" spans="1:30" ht="15.95">
      <c r="A75" t="s">
        <v>803</v>
      </c>
      <c r="B75" t="s">
        <v>804</v>
      </c>
      <c r="E75" t="s">
        <v>805</v>
      </c>
      <c r="F75" t="s">
        <v>806</v>
      </c>
      <c r="G75" t="s">
        <v>807</v>
      </c>
      <c r="J75" t="s">
        <v>753</v>
      </c>
      <c r="N75" t="s">
        <v>743</v>
      </c>
      <c r="O75" t="s">
        <v>754</v>
      </c>
      <c r="R75" t="s">
        <v>754</v>
      </c>
      <c r="S75" s="7">
        <v>2.028</v>
      </c>
      <c r="T75" s="8" t="s">
        <v>808</v>
      </c>
      <c r="U75" s="16" t="s">
        <v>734</v>
      </c>
      <c r="V75" t="s">
        <v>809</v>
      </c>
      <c r="W75" t="s">
        <v>810</v>
      </c>
      <c r="X75" s="56">
        <v>-0.37</v>
      </c>
    </row>
    <row r="76" spans="1:30" ht="15.95">
      <c r="A76" t="s">
        <v>803</v>
      </c>
      <c r="B76" t="s">
        <v>811</v>
      </c>
      <c r="E76" t="s">
        <v>805</v>
      </c>
      <c r="F76" t="s">
        <v>806</v>
      </c>
      <c r="G76" t="s">
        <v>807</v>
      </c>
      <c r="J76" t="s">
        <v>753</v>
      </c>
      <c r="N76" t="s">
        <v>743</v>
      </c>
      <c r="O76" t="s">
        <v>754</v>
      </c>
      <c r="R76" t="s">
        <v>754</v>
      </c>
      <c r="S76" s="7">
        <v>2.028</v>
      </c>
      <c r="T76" s="8" t="s">
        <v>812</v>
      </c>
      <c r="U76" s="16" t="s">
        <v>734</v>
      </c>
      <c r="V76" t="s">
        <v>809</v>
      </c>
      <c r="X76" s="56">
        <v>-0.22</v>
      </c>
    </row>
    <row r="77" spans="1:30" ht="15.95">
      <c r="A77" t="s">
        <v>803</v>
      </c>
      <c r="B77" t="s">
        <v>755</v>
      </c>
      <c r="E77" t="s">
        <v>805</v>
      </c>
      <c r="F77" t="s">
        <v>806</v>
      </c>
      <c r="G77" t="s">
        <v>807</v>
      </c>
      <c r="J77" t="s">
        <v>753</v>
      </c>
      <c r="N77" t="s">
        <v>743</v>
      </c>
      <c r="O77" t="s">
        <v>754</v>
      </c>
      <c r="R77" t="s">
        <v>754</v>
      </c>
      <c r="S77" s="7">
        <v>2.028</v>
      </c>
      <c r="T77" s="8" t="s">
        <v>755</v>
      </c>
      <c r="U77" s="16" t="s">
        <v>734</v>
      </c>
      <c r="V77" t="s">
        <v>809</v>
      </c>
      <c r="X77">
        <v>0</v>
      </c>
    </row>
    <row r="78" spans="1:30" ht="15.95">
      <c r="A78" t="s">
        <v>813</v>
      </c>
      <c r="B78" t="s">
        <v>814</v>
      </c>
      <c r="E78" t="s">
        <v>815</v>
      </c>
      <c r="F78">
        <v>2017</v>
      </c>
      <c r="G78" t="s">
        <v>816</v>
      </c>
      <c r="H78" t="s">
        <v>817</v>
      </c>
      <c r="I78" s="16" t="s">
        <v>592</v>
      </c>
      <c r="J78" t="s">
        <v>558</v>
      </c>
      <c r="K78" t="s">
        <v>742</v>
      </c>
      <c r="N78" t="s">
        <v>743</v>
      </c>
      <c r="O78" t="s">
        <v>754</v>
      </c>
      <c r="R78" t="s">
        <v>754</v>
      </c>
      <c r="S78" s="7">
        <v>102</v>
      </c>
      <c r="T78" t="s">
        <v>814</v>
      </c>
      <c r="U78" s="16" t="s">
        <v>734</v>
      </c>
      <c r="V78" t="s">
        <v>818</v>
      </c>
      <c r="X78">
        <v>0</v>
      </c>
    </row>
    <row r="79" spans="1:30" ht="15.95">
      <c r="A79" t="s">
        <v>813</v>
      </c>
      <c r="B79" t="s">
        <v>819</v>
      </c>
      <c r="E79" t="s">
        <v>815</v>
      </c>
      <c r="F79">
        <v>2017</v>
      </c>
      <c r="G79" t="s">
        <v>816</v>
      </c>
      <c r="H79" t="s">
        <v>820</v>
      </c>
      <c r="I79" s="16" t="s">
        <v>592</v>
      </c>
      <c r="J79" t="s">
        <v>558</v>
      </c>
      <c r="K79" t="s">
        <v>742</v>
      </c>
      <c r="N79" t="s">
        <v>743</v>
      </c>
      <c r="O79" t="s">
        <v>754</v>
      </c>
      <c r="R79" t="s">
        <v>754</v>
      </c>
      <c r="S79" s="7">
        <v>102</v>
      </c>
      <c r="T79" t="s">
        <v>819</v>
      </c>
      <c r="U79" s="16" t="s">
        <v>734</v>
      </c>
      <c r="V79" t="s">
        <v>821</v>
      </c>
      <c r="X79" t="s">
        <v>822</v>
      </c>
    </row>
    <row r="80" spans="1:30" ht="17.100000000000001">
      <c r="A80" t="s">
        <v>823</v>
      </c>
      <c r="B80" s="66" t="s">
        <v>824</v>
      </c>
      <c r="C80" t="s">
        <v>796</v>
      </c>
      <c r="D80" t="s">
        <v>825</v>
      </c>
      <c r="E80" t="s">
        <v>826</v>
      </c>
      <c r="F80">
        <v>2017</v>
      </c>
      <c r="G80" s="16" t="s">
        <v>827</v>
      </c>
      <c r="I80" t="s">
        <v>592</v>
      </c>
      <c r="J80" t="s">
        <v>786</v>
      </c>
      <c r="K80" t="s">
        <v>796</v>
      </c>
      <c r="N80" t="s">
        <v>788</v>
      </c>
      <c r="O80" t="s">
        <v>828</v>
      </c>
      <c r="R80" t="s">
        <v>829</v>
      </c>
      <c r="T80" s="66" t="s">
        <v>830</v>
      </c>
      <c r="W80" s="54" t="s">
        <v>831</v>
      </c>
      <c r="X80" t="s">
        <v>832</v>
      </c>
      <c r="Y80" s="67"/>
    </row>
    <row r="81" spans="1:27" ht="15.95">
      <c r="A81" s="34"/>
      <c r="B81" s="66" t="s">
        <v>833</v>
      </c>
      <c r="C81" t="s">
        <v>796</v>
      </c>
      <c r="D81" t="s">
        <v>825</v>
      </c>
      <c r="E81" t="s">
        <v>826</v>
      </c>
      <c r="F81">
        <v>2017</v>
      </c>
      <c r="G81" s="16" t="s">
        <v>827</v>
      </c>
      <c r="I81" t="s">
        <v>592</v>
      </c>
      <c r="J81" t="s">
        <v>786</v>
      </c>
      <c r="K81" t="s">
        <v>796</v>
      </c>
      <c r="N81" t="s">
        <v>788</v>
      </c>
      <c r="O81" t="s">
        <v>828</v>
      </c>
      <c r="R81" t="s">
        <v>829</v>
      </c>
      <c r="T81" s="66" t="s">
        <v>834</v>
      </c>
      <c r="Y81" s="67"/>
    </row>
    <row r="82" spans="1:27">
      <c r="A82" s="34"/>
      <c r="B82" s="66" t="s">
        <v>835</v>
      </c>
      <c r="E82" s="16" t="s">
        <v>766</v>
      </c>
      <c r="F82" s="16">
        <v>2014</v>
      </c>
      <c r="G82" s="16" t="s">
        <v>836</v>
      </c>
      <c r="H82" s="16" t="s">
        <v>837</v>
      </c>
      <c r="I82" s="16" t="s">
        <v>838</v>
      </c>
      <c r="O82" s="16" t="s">
        <v>839</v>
      </c>
      <c r="R82" t="s">
        <v>743</v>
      </c>
      <c r="T82" s="66" t="s">
        <v>835</v>
      </c>
      <c r="V82" t="s">
        <v>840</v>
      </c>
      <c r="W82">
        <v>562.70000000000005</v>
      </c>
      <c r="Y82" s="67"/>
    </row>
    <row r="83" spans="1:27">
      <c r="A83" s="34"/>
      <c r="B83" s="66" t="s">
        <v>841</v>
      </c>
      <c r="E83" s="16" t="s">
        <v>766</v>
      </c>
      <c r="F83" s="16">
        <v>2014</v>
      </c>
      <c r="G83" s="16" t="s">
        <v>836</v>
      </c>
      <c r="H83" s="16" t="s">
        <v>837</v>
      </c>
      <c r="I83" s="16" t="s">
        <v>838</v>
      </c>
      <c r="O83" s="16" t="s">
        <v>839</v>
      </c>
      <c r="R83" t="s">
        <v>743</v>
      </c>
      <c r="T83" s="66" t="s">
        <v>841</v>
      </c>
      <c r="V83" t="s">
        <v>840</v>
      </c>
      <c r="W83">
        <v>510.1</v>
      </c>
      <c r="Y83" s="67"/>
    </row>
    <row r="84" spans="1:27">
      <c r="A84" s="34"/>
      <c r="B84" s="66" t="s">
        <v>842</v>
      </c>
      <c r="E84" s="16" t="s">
        <v>766</v>
      </c>
      <c r="F84" s="16">
        <v>2014</v>
      </c>
      <c r="G84" s="16" t="s">
        <v>836</v>
      </c>
      <c r="H84" s="16" t="s">
        <v>837</v>
      </c>
      <c r="I84" s="16" t="s">
        <v>838</v>
      </c>
      <c r="O84" s="16" t="s">
        <v>839</v>
      </c>
      <c r="R84" s="16"/>
      <c r="T84" s="66" t="s">
        <v>842</v>
      </c>
      <c r="V84" t="s">
        <v>840</v>
      </c>
      <c r="W84">
        <v>153.4</v>
      </c>
      <c r="Y84" s="67"/>
    </row>
    <row r="85" spans="1:27">
      <c r="A85" s="34"/>
      <c r="B85" s="66" t="s">
        <v>843</v>
      </c>
      <c r="E85" s="16" t="s">
        <v>766</v>
      </c>
      <c r="F85" s="16">
        <v>2014</v>
      </c>
      <c r="G85" s="16" t="s">
        <v>836</v>
      </c>
      <c r="H85" s="16" t="s">
        <v>837</v>
      </c>
      <c r="I85" s="16" t="s">
        <v>838</v>
      </c>
      <c r="O85" s="16" t="s">
        <v>839</v>
      </c>
      <c r="R85" s="16"/>
      <c r="T85" s="66" t="s">
        <v>843</v>
      </c>
      <c r="V85" t="s">
        <v>840</v>
      </c>
      <c r="W85">
        <v>72.599999999999994</v>
      </c>
      <c r="Y85" s="67"/>
    </row>
    <row r="86" spans="1:27">
      <c r="B86" t="s">
        <v>844</v>
      </c>
      <c r="E86" s="16" t="s">
        <v>766</v>
      </c>
      <c r="F86" s="16">
        <v>2014</v>
      </c>
      <c r="G86" s="16" t="s">
        <v>836</v>
      </c>
      <c r="H86" s="16" t="s">
        <v>837</v>
      </c>
      <c r="I86" s="16" t="s">
        <v>838</v>
      </c>
      <c r="J86" s="16"/>
      <c r="K86" s="16"/>
      <c r="L86" s="16"/>
      <c r="M86" s="16"/>
      <c r="N86" s="16"/>
      <c r="O86" s="16" t="s">
        <v>839</v>
      </c>
      <c r="P86" s="16"/>
      <c r="Q86" s="16"/>
      <c r="R86" t="s">
        <v>743</v>
      </c>
      <c r="S86" s="16"/>
      <c r="T86" s="16"/>
      <c r="U86" s="16"/>
      <c r="V86" s="16">
        <v>10</v>
      </c>
      <c r="W86" s="16"/>
      <c r="X86" s="16"/>
      <c r="Y86" s="17" t="s">
        <v>845</v>
      </c>
      <c r="Z86" t="s">
        <v>846</v>
      </c>
    </row>
    <row r="87" spans="1:27">
      <c r="A87" t="s">
        <v>847</v>
      </c>
      <c r="E87" s="16" t="s">
        <v>848</v>
      </c>
      <c r="F87" s="16">
        <v>2016</v>
      </c>
      <c r="G87" s="16" t="s">
        <v>694</v>
      </c>
      <c r="H87" s="16" t="s">
        <v>849</v>
      </c>
      <c r="I87" s="16" t="s">
        <v>592</v>
      </c>
      <c r="J87" s="16" t="s">
        <v>850</v>
      </c>
      <c r="K87" s="16" t="s">
        <v>851</v>
      </c>
      <c r="L87" s="16"/>
      <c r="M87" s="16"/>
      <c r="N87" s="16" t="s">
        <v>852</v>
      </c>
      <c r="O87" s="16" t="s">
        <v>656</v>
      </c>
      <c r="P87" s="16"/>
      <c r="Q87" s="16"/>
      <c r="R87" t="s">
        <v>743</v>
      </c>
      <c r="S87" s="16"/>
      <c r="T87" s="16" t="s">
        <v>853</v>
      </c>
      <c r="U87" s="16" t="s">
        <v>854</v>
      </c>
      <c r="V87" s="16"/>
      <c r="W87" s="16" t="s">
        <v>855</v>
      </c>
      <c r="X87" s="16"/>
      <c r="Y87" s="17"/>
    </row>
    <row r="88" spans="1:27" ht="15.95">
      <c r="A88" t="s">
        <v>856</v>
      </c>
      <c r="E88" s="16" t="s">
        <v>848</v>
      </c>
      <c r="F88" s="16">
        <v>2016</v>
      </c>
      <c r="G88" s="16" t="s">
        <v>694</v>
      </c>
      <c r="H88" s="16" t="s">
        <v>849</v>
      </c>
      <c r="I88" s="16" t="s">
        <v>592</v>
      </c>
      <c r="J88" s="16" t="s">
        <v>850</v>
      </c>
      <c r="K88" s="16" t="s">
        <v>851</v>
      </c>
      <c r="L88" s="16"/>
      <c r="M88" s="16"/>
      <c r="N88" s="16" t="s">
        <v>852</v>
      </c>
      <c r="O88" s="16" t="s">
        <v>656</v>
      </c>
      <c r="P88" s="16"/>
      <c r="Q88" s="16"/>
      <c r="R88" s="16"/>
      <c r="S88" s="16"/>
      <c r="T88" s="16" t="s">
        <v>853</v>
      </c>
      <c r="U88" s="16" t="s">
        <v>857</v>
      </c>
      <c r="V88" s="16"/>
      <c r="W88" s="16" t="s">
        <v>858</v>
      </c>
      <c r="X88" s="16"/>
      <c r="Y88" s="17"/>
    </row>
    <row r="89" spans="1:27">
      <c r="A89" t="s">
        <v>859</v>
      </c>
      <c r="B89" t="s">
        <v>860</v>
      </c>
      <c r="E89" s="16" t="s">
        <v>861</v>
      </c>
      <c r="F89" s="16">
        <v>2021</v>
      </c>
      <c r="G89" s="16" t="s">
        <v>387</v>
      </c>
      <c r="H89" s="16">
        <v>2013</v>
      </c>
      <c r="I89" s="16" t="s">
        <v>667</v>
      </c>
      <c r="J89" s="16" t="s">
        <v>862</v>
      </c>
      <c r="K89" t="s">
        <v>742</v>
      </c>
      <c r="L89" s="16"/>
      <c r="M89" s="16"/>
      <c r="N89" t="s">
        <v>743</v>
      </c>
      <c r="O89" t="s">
        <v>863</v>
      </c>
      <c r="P89" s="16"/>
      <c r="Q89" s="16"/>
      <c r="R89" t="s">
        <v>743</v>
      </c>
      <c r="S89" s="16" t="s">
        <v>864</v>
      </c>
      <c r="T89" t="s">
        <v>860</v>
      </c>
      <c r="U89" s="16" t="s">
        <v>734</v>
      </c>
      <c r="V89" s="16">
        <v>50</v>
      </c>
      <c r="W89" s="16"/>
      <c r="X89" s="16"/>
      <c r="Y89" s="17"/>
      <c r="Z89" t="s">
        <v>865</v>
      </c>
    </row>
    <row r="90" spans="1:27">
      <c r="A90" t="s">
        <v>859</v>
      </c>
      <c r="B90" t="s">
        <v>866</v>
      </c>
      <c r="E90" s="16" t="s">
        <v>861</v>
      </c>
      <c r="F90" s="16">
        <v>2021</v>
      </c>
      <c r="G90" s="16" t="s">
        <v>387</v>
      </c>
      <c r="H90" s="16">
        <v>2013</v>
      </c>
      <c r="I90" s="16" t="s">
        <v>667</v>
      </c>
      <c r="J90" s="16" t="s">
        <v>862</v>
      </c>
      <c r="K90" t="s">
        <v>742</v>
      </c>
      <c r="L90" s="16"/>
      <c r="M90" s="16"/>
      <c r="N90" t="s">
        <v>743</v>
      </c>
      <c r="O90" t="s">
        <v>863</v>
      </c>
      <c r="P90" s="16"/>
      <c r="Q90" s="16"/>
      <c r="R90" t="s">
        <v>743</v>
      </c>
      <c r="S90" s="16" t="s">
        <v>867</v>
      </c>
      <c r="T90" t="s">
        <v>866</v>
      </c>
      <c r="U90" s="16" t="s">
        <v>734</v>
      </c>
      <c r="V90" s="16">
        <v>50</v>
      </c>
      <c r="W90" s="16"/>
      <c r="X90" s="16"/>
      <c r="Y90" s="17"/>
      <c r="Z90" t="s">
        <v>868</v>
      </c>
    </row>
    <row r="91" spans="1:27">
      <c r="A91" t="s">
        <v>859</v>
      </c>
      <c r="B91" t="s">
        <v>869</v>
      </c>
      <c r="E91" s="16" t="s">
        <v>861</v>
      </c>
      <c r="F91" s="16">
        <v>2021</v>
      </c>
      <c r="G91" s="16" t="s">
        <v>387</v>
      </c>
      <c r="H91" s="16">
        <v>2013</v>
      </c>
      <c r="I91" s="16" t="s">
        <v>667</v>
      </c>
      <c r="J91" s="16" t="s">
        <v>862</v>
      </c>
      <c r="K91" t="s">
        <v>742</v>
      </c>
      <c r="L91" s="16"/>
      <c r="M91" s="16"/>
      <c r="N91" t="s">
        <v>743</v>
      </c>
      <c r="O91" t="s">
        <v>863</v>
      </c>
      <c r="P91" s="16"/>
      <c r="Q91" s="16"/>
      <c r="R91" t="s">
        <v>743</v>
      </c>
      <c r="S91" s="16" t="s">
        <v>870</v>
      </c>
      <c r="T91" t="s">
        <v>869</v>
      </c>
      <c r="U91" s="16" t="s">
        <v>734</v>
      </c>
      <c r="V91" s="16">
        <v>50</v>
      </c>
      <c r="W91" s="16"/>
      <c r="X91" s="16"/>
      <c r="Y91" s="17"/>
      <c r="Z91" t="s">
        <v>871</v>
      </c>
    </row>
    <row r="92" spans="1:27">
      <c r="A92" t="s">
        <v>872</v>
      </c>
      <c r="B92" t="s">
        <v>860</v>
      </c>
      <c r="E92" s="16" t="s">
        <v>873</v>
      </c>
      <c r="F92" s="16">
        <v>2017</v>
      </c>
      <c r="G92" s="16" t="s">
        <v>874</v>
      </c>
      <c r="H92" s="16" t="s">
        <v>875</v>
      </c>
      <c r="I92" s="16" t="s">
        <v>876</v>
      </c>
      <c r="J92" s="16"/>
      <c r="K92" t="s">
        <v>877</v>
      </c>
      <c r="L92" s="16"/>
      <c r="M92" s="16"/>
      <c r="N92" t="s">
        <v>743</v>
      </c>
      <c r="P92" s="16"/>
      <c r="Q92" s="16"/>
      <c r="R92" t="s">
        <v>743</v>
      </c>
      <c r="S92" s="16"/>
      <c r="T92" t="s">
        <v>860</v>
      </c>
      <c r="U92" s="16" t="s">
        <v>734</v>
      </c>
      <c r="V92" s="16" t="s">
        <v>875</v>
      </c>
      <c r="X92" s="16"/>
      <c r="Y92" s="16" t="s">
        <v>878</v>
      </c>
      <c r="Z92">
        <v>0.91304347799999996</v>
      </c>
      <c r="AA92" s="60">
        <v>0</v>
      </c>
    </row>
    <row r="93" spans="1:27">
      <c r="A93" t="s">
        <v>872</v>
      </c>
      <c r="B93" t="s">
        <v>879</v>
      </c>
      <c r="E93" s="16" t="s">
        <v>873</v>
      </c>
      <c r="F93" s="16">
        <v>2017</v>
      </c>
      <c r="G93" s="16" t="s">
        <v>874</v>
      </c>
      <c r="H93" s="16" t="s">
        <v>875</v>
      </c>
      <c r="I93" s="16" t="s">
        <v>876</v>
      </c>
      <c r="J93" s="16"/>
      <c r="K93" t="s">
        <v>877</v>
      </c>
      <c r="L93" s="16"/>
      <c r="M93" s="16"/>
      <c r="N93" t="s">
        <v>743</v>
      </c>
      <c r="P93" s="16"/>
      <c r="Q93" s="16"/>
      <c r="R93" t="s">
        <v>743</v>
      </c>
      <c r="S93" s="16"/>
      <c r="T93" t="s">
        <v>879</v>
      </c>
      <c r="U93" s="16" t="s">
        <v>734</v>
      </c>
      <c r="V93" s="16" t="s">
        <v>875</v>
      </c>
      <c r="X93" s="16"/>
      <c r="Y93" s="16" t="s">
        <v>880</v>
      </c>
      <c r="Z93">
        <v>0.731884058</v>
      </c>
      <c r="AA93" s="60">
        <f>+Z93-Z92</f>
        <v>-0.18115941999999996</v>
      </c>
    </row>
    <row r="94" spans="1:27">
      <c r="A94" t="s">
        <v>872</v>
      </c>
      <c r="B94" t="s">
        <v>879</v>
      </c>
      <c r="E94" s="16" t="s">
        <v>873</v>
      </c>
      <c r="F94" s="16">
        <v>2017</v>
      </c>
      <c r="G94" s="16" t="s">
        <v>874</v>
      </c>
      <c r="H94" s="16" t="s">
        <v>875</v>
      </c>
      <c r="I94" s="16" t="s">
        <v>876</v>
      </c>
      <c r="J94" s="16"/>
      <c r="K94" t="s">
        <v>877</v>
      </c>
      <c r="L94" s="16"/>
      <c r="M94" s="16"/>
      <c r="N94" t="s">
        <v>743</v>
      </c>
      <c r="P94" s="16"/>
      <c r="Q94" s="16"/>
      <c r="R94" t="s">
        <v>743</v>
      </c>
      <c r="S94" s="16"/>
      <c r="T94" t="s">
        <v>879</v>
      </c>
      <c r="U94" s="16" t="s">
        <v>734</v>
      </c>
      <c r="V94" s="16" t="s">
        <v>875</v>
      </c>
      <c r="X94" s="16"/>
      <c r="Y94" s="16" t="s">
        <v>881</v>
      </c>
      <c r="Z94">
        <v>1.0942028989999999</v>
      </c>
      <c r="AA94" s="60">
        <f>+Z94-Z92</f>
        <v>0.18115942099999993</v>
      </c>
    </row>
    <row r="95" spans="1:27"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S95" s="16"/>
      <c r="T95" s="16"/>
      <c r="U95" s="16"/>
      <c r="V95" s="16"/>
      <c r="W95" s="16"/>
      <c r="X95" s="16"/>
      <c r="Y95" s="17"/>
    </row>
    <row r="96" spans="1:27"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7"/>
    </row>
    <row r="97" spans="1:25" ht="15.95">
      <c r="A97" s="34" t="s">
        <v>882</v>
      </c>
      <c r="Y97" s="12"/>
    </row>
    <row r="98" spans="1:25" ht="15.95">
      <c r="A98" t="s">
        <v>883</v>
      </c>
      <c r="B98" t="s">
        <v>884</v>
      </c>
      <c r="C98" t="s">
        <v>796</v>
      </c>
      <c r="D98" t="s">
        <v>885</v>
      </c>
      <c r="E98" t="s">
        <v>805</v>
      </c>
      <c r="F98" t="s">
        <v>886</v>
      </c>
      <c r="G98" t="s">
        <v>57</v>
      </c>
      <c r="I98" t="s">
        <v>887</v>
      </c>
      <c r="J98" t="s">
        <v>753</v>
      </c>
      <c r="N98" t="s">
        <v>743</v>
      </c>
      <c r="O98" t="s">
        <v>754</v>
      </c>
      <c r="R98" t="s">
        <v>743</v>
      </c>
      <c r="T98" t="s">
        <v>888</v>
      </c>
      <c r="Y98" s="12"/>
    </row>
    <row r="99" spans="1:25" ht="15.95">
      <c r="A99" t="s">
        <v>883</v>
      </c>
      <c r="B99" t="s">
        <v>889</v>
      </c>
      <c r="C99" t="s">
        <v>796</v>
      </c>
      <c r="D99" t="s">
        <v>885</v>
      </c>
      <c r="E99" t="s">
        <v>805</v>
      </c>
      <c r="F99" t="s">
        <v>886</v>
      </c>
      <c r="G99" t="s">
        <v>57</v>
      </c>
      <c r="I99" t="s">
        <v>887</v>
      </c>
      <c r="J99" t="s">
        <v>753</v>
      </c>
      <c r="N99" t="s">
        <v>743</v>
      </c>
      <c r="O99" t="s">
        <v>754</v>
      </c>
      <c r="R99" t="s">
        <v>743</v>
      </c>
      <c r="T99" t="s">
        <v>889</v>
      </c>
      <c r="W99" t="s">
        <v>890</v>
      </c>
      <c r="Y99" s="12"/>
    </row>
    <row r="100" spans="1:25" ht="15.95"/>
    <row r="101" spans="1:25" ht="15.95"/>
    <row r="102" spans="1:25" ht="15.95">
      <c r="A102" s="34" t="s">
        <v>891</v>
      </c>
    </row>
    <row r="103" spans="1:25" ht="15.95">
      <c r="B103" t="s">
        <v>892</v>
      </c>
      <c r="E103" t="s">
        <v>893</v>
      </c>
      <c r="F103">
        <v>2023</v>
      </c>
      <c r="G103" s="16" t="s">
        <v>894</v>
      </c>
      <c r="H103">
        <v>2023</v>
      </c>
      <c r="I103" s="16" t="s">
        <v>754</v>
      </c>
      <c r="J103" s="7" t="s">
        <v>753</v>
      </c>
      <c r="K103" t="s">
        <v>796</v>
      </c>
      <c r="L103" s="7"/>
      <c r="N103" s="7" t="s">
        <v>895</v>
      </c>
      <c r="O103" s="7" t="s">
        <v>754</v>
      </c>
      <c r="R103" s="7" t="s">
        <v>743</v>
      </c>
      <c r="T103" t="s">
        <v>892</v>
      </c>
      <c r="U103" s="7"/>
      <c r="W103" s="56">
        <v>0.2</v>
      </c>
    </row>
    <row r="104" spans="1:25" ht="15.95">
      <c r="B104" t="s">
        <v>896</v>
      </c>
      <c r="E104" t="s">
        <v>893</v>
      </c>
      <c r="F104">
        <v>2023</v>
      </c>
      <c r="G104" s="16" t="s">
        <v>894</v>
      </c>
      <c r="H104">
        <v>2023</v>
      </c>
      <c r="I104" s="16" t="s">
        <v>754</v>
      </c>
      <c r="J104" s="7" t="s">
        <v>753</v>
      </c>
      <c r="K104" t="s">
        <v>796</v>
      </c>
      <c r="L104" s="7"/>
      <c r="N104" s="7" t="s">
        <v>895</v>
      </c>
      <c r="O104" s="7" t="s">
        <v>754</v>
      </c>
      <c r="R104" s="7" t="s">
        <v>743</v>
      </c>
      <c r="T104" t="s">
        <v>896</v>
      </c>
      <c r="U104" s="7"/>
      <c r="W104" s="56">
        <v>0.44500000000000001</v>
      </c>
    </row>
    <row r="105" spans="1:25">
      <c r="G105" s="16"/>
      <c r="I105" s="16"/>
      <c r="J105" s="7"/>
      <c r="L105" s="7"/>
      <c r="N105" s="7"/>
      <c r="O105" s="7"/>
      <c r="R105" s="7"/>
      <c r="U105" s="7"/>
      <c r="W105" s="56"/>
    </row>
    <row r="106" spans="1:25" ht="15.95">
      <c r="G106" s="16"/>
      <c r="I106" s="16"/>
      <c r="J106" s="7"/>
      <c r="L106" s="7"/>
      <c r="N106" s="7"/>
      <c r="O106" s="7"/>
      <c r="R106" s="7"/>
      <c r="U106" s="7"/>
      <c r="W106" s="56"/>
    </row>
    <row r="107" spans="1:25" ht="15.95">
      <c r="A107" s="34" t="s">
        <v>897</v>
      </c>
      <c r="B107" s="34"/>
    </row>
    <row r="108" spans="1:25" ht="15.95">
      <c r="A108" s="34"/>
      <c r="B108" s="66" t="s">
        <v>898</v>
      </c>
      <c r="E108" t="s">
        <v>899</v>
      </c>
      <c r="F108">
        <v>2011</v>
      </c>
      <c r="G108" t="s">
        <v>57</v>
      </c>
      <c r="H108">
        <v>2010</v>
      </c>
      <c r="I108" t="s">
        <v>592</v>
      </c>
      <c r="J108" t="s">
        <v>900</v>
      </c>
      <c r="N108" t="s">
        <v>901</v>
      </c>
      <c r="R108" t="s">
        <v>902</v>
      </c>
      <c r="T108" t="s">
        <v>903</v>
      </c>
      <c r="V108" t="s">
        <v>904</v>
      </c>
      <c r="Y108" s="67" t="s">
        <v>905</v>
      </c>
    </row>
    <row r="109" spans="1:25" ht="15.95">
      <c r="A109" s="34"/>
      <c r="B109" s="66" t="s">
        <v>830</v>
      </c>
      <c r="C109" t="s">
        <v>796</v>
      </c>
      <c r="D109" t="s">
        <v>906</v>
      </c>
      <c r="E109" t="s">
        <v>826</v>
      </c>
      <c r="F109">
        <v>2017</v>
      </c>
      <c r="G109" s="16" t="s">
        <v>827</v>
      </c>
      <c r="I109" t="s">
        <v>592</v>
      </c>
      <c r="J109" t="s">
        <v>786</v>
      </c>
      <c r="K109" t="s">
        <v>796</v>
      </c>
      <c r="N109" t="s">
        <v>788</v>
      </c>
      <c r="O109" t="s">
        <v>828</v>
      </c>
      <c r="R109" t="s">
        <v>829</v>
      </c>
      <c r="T109" s="66" t="s">
        <v>830</v>
      </c>
      <c r="W109" t="s">
        <v>907</v>
      </c>
      <c r="Y109" s="67"/>
    </row>
    <row r="110" spans="1:25" ht="15.95">
      <c r="A110" s="34"/>
      <c r="B110" s="66" t="s">
        <v>834</v>
      </c>
      <c r="C110" t="s">
        <v>796</v>
      </c>
      <c r="D110" t="s">
        <v>906</v>
      </c>
      <c r="E110" t="s">
        <v>826</v>
      </c>
      <c r="F110">
        <v>2017</v>
      </c>
      <c r="G110" s="16" t="s">
        <v>827</v>
      </c>
      <c r="I110" t="s">
        <v>592</v>
      </c>
      <c r="J110" t="s">
        <v>786</v>
      </c>
      <c r="K110" t="s">
        <v>796</v>
      </c>
      <c r="N110" t="s">
        <v>788</v>
      </c>
      <c r="O110" t="s">
        <v>828</v>
      </c>
      <c r="R110" t="s">
        <v>829</v>
      </c>
      <c r="T110" s="66" t="s">
        <v>834</v>
      </c>
      <c r="Y110" s="67"/>
    </row>
    <row r="111" spans="1:25">
      <c r="A111" s="34"/>
      <c r="B111" t="s">
        <v>908</v>
      </c>
      <c r="E111" t="s">
        <v>909</v>
      </c>
      <c r="F111">
        <v>2016</v>
      </c>
      <c r="G111" s="16" t="s">
        <v>827</v>
      </c>
      <c r="H111">
        <v>2013</v>
      </c>
      <c r="I111" t="s">
        <v>592</v>
      </c>
      <c r="J111" t="s">
        <v>786</v>
      </c>
      <c r="K111" t="s">
        <v>910</v>
      </c>
      <c r="N111" t="s">
        <v>788</v>
      </c>
      <c r="O111" t="s">
        <v>911</v>
      </c>
      <c r="R111" t="s">
        <v>829</v>
      </c>
      <c r="T111" s="66" t="s">
        <v>912</v>
      </c>
      <c r="W111" t="s">
        <v>913</v>
      </c>
    </row>
    <row r="112" spans="1:25">
      <c r="A112" s="34"/>
      <c r="G112" s="16"/>
      <c r="T112" s="66"/>
    </row>
    <row r="113" spans="1:36">
      <c r="A113" s="34"/>
      <c r="G113" s="16"/>
      <c r="T113" s="66"/>
    </row>
    <row r="114" spans="1:36" ht="15.95">
      <c r="A114" s="34" t="s">
        <v>201</v>
      </c>
      <c r="B114" t="s">
        <v>311</v>
      </c>
      <c r="E114" t="s">
        <v>914</v>
      </c>
      <c r="F114">
        <v>2018</v>
      </c>
      <c r="G114" t="s">
        <v>915</v>
      </c>
      <c r="I114" s="7"/>
      <c r="J114" s="7" t="s">
        <v>916</v>
      </c>
      <c r="K114" t="s">
        <v>917</v>
      </c>
      <c r="L114" s="7"/>
      <c r="N114" s="7" t="s">
        <v>918</v>
      </c>
      <c r="O114" s="7"/>
      <c r="R114" s="7" t="s">
        <v>919</v>
      </c>
      <c r="T114" t="s">
        <v>920</v>
      </c>
      <c r="U114" s="7">
        <v>80</v>
      </c>
      <c r="V114" t="s">
        <v>921</v>
      </c>
      <c r="W114" t="s">
        <v>922</v>
      </c>
      <c r="X114" t="s">
        <v>923</v>
      </c>
      <c r="Y114" s="7"/>
      <c r="Z114" s="7"/>
      <c r="AJ114" s="7"/>
    </row>
    <row r="115" spans="1:36" ht="15.95">
      <c r="B115" t="s">
        <v>291</v>
      </c>
      <c r="E115" t="s">
        <v>914</v>
      </c>
      <c r="F115">
        <v>2018</v>
      </c>
      <c r="G115" t="s">
        <v>915</v>
      </c>
      <c r="I115" s="7"/>
      <c r="J115" s="7" t="s">
        <v>916</v>
      </c>
      <c r="K115" t="s">
        <v>917</v>
      </c>
      <c r="L115" s="7"/>
      <c r="N115" s="7" t="s">
        <v>918</v>
      </c>
      <c r="O115" s="7"/>
      <c r="R115" s="7" t="s">
        <v>919</v>
      </c>
      <c r="U115" s="7">
        <v>80</v>
      </c>
      <c r="V115" t="s">
        <v>921</v>
      </c>
      <c r="W115" t="s">
        <v>924</v>
      </c>
      <c r="X115" t="s">
        <v>923</v>
      </c>
      <c r="Y115" s="7"/>
      <c r="Z115" s="7"/>
      <c r="AJ115" s="7"/>
    </row>
    <row r="116" spans="1:36" ht="15.95">
      <c r="B116" t="s">
        <v>311</v>
      </c>
      <c r="E116" t="s">
        <v>914</v>
      </c>
      <c r="F116">
        <v>2018</v>
      </c>
      <c r="G116" t="s">
        <v>915</v>
      </c>
      <c r="I116" s="7"/>
      <c r="J116" s="7" t="s">
        <v>925</v>
      </c>
      <c r="K116" t="s">
        <v>926</v>
      </c>
      <c r="L116" s="7"/>
      <c r="N116" s="7" t="s">
        <v>927</v>
      </c>
      <c r="O116" s="7"/>
      <c r="R116" s="7" t="s">
        <v>928</v>
      </c>
      <c r="T116" t="s">
        <v>920</v>
      </c>
      <c r="U116" s="7">
        <v>16</v>
      </c>
      <c r="V116" t="s">
        <v>921</v>
      </c>
      <c r="W116" t="s">
        <v>929</v>
      </c>
      <c r="X116" t="s">
        <v>923</v>
      </c>
      <c r="Y116" s="7"/>
      <c r="Z116" s="7"/>
      <c r="AJ116" s="7"/>
    </row>
    <row r="117" spans="1:36" ht="15.95">
      <c r="B117" t="s">
        <v>291</v>
      </c>
      <c r="E117" t="s">
        <v>914</v>
      </c>
      <c r="F117">
        <v>2018</v>
      </c>
      <c r="G117" t="s">
        <v>915</v>
      </c>
      <c r="I117" s="7"/>
      <c r="J117" s="7" t="s">
        <v>925</v>
      </c>
      <c r="K117" t="s">
        <v>926</v>
      </c>
      <c r="L117" s="7"/>
      <c r="N117" s="7" t="s">
        <v>927</v>
      </c>
      <c r="O117" s="7"/>
      <c r="R117" s="7" t="s">
        <v>928</v>
      </c>
      <c r="U117" s="7">
        <v>16</v>
      </c>
      <c r="V117" t="s">
        <v>921</v>
      </c>
      <c r="W117" t="s">
        <v>924</v>
      </c>
      <c r="X117" t="s">
        <v>923</v>
      </c>
      <c r="Y117" s="7"/>
      <c r="Z117" s="7"/>
      <c r="AJ117" s="7"/>
    </row>
    <row r="118" spans="1:36" ht="15.95">
      <c r="B118" t="s">
        <v>311</v>
      </c>
      <c r="E118" t="s">
        <v>914</v>
      </c>
      <c r="F118">
        <v>2018</v>
      </c>
      <c r="G118" t="s">
        <v>915</v>
      </c>
      <c r="I118" s="7"/>
      <c r="J118" s="7" t="s">
        <v>930</v>
      </c>
      <c r="K118" t="s">
        <v>931</v>
      </c>
      <c r="L118" s="7"/>
      <c r="N118" s="7" t="s">
        <v>932</v>
      </c>
      <c r="O118" s="7"/>
      <c r="R118" s="7" t="s">
        <v>933</v>
      </c>
      <c r="T118" t="s">
        <v>920</v>
      </c>
      <c r="U118" s="7">
        <v>28</v>
      </c>
      <c r="V118" t="s">
        <v>921</v>
      </c>
      <c r="W118" s="23" t="s">
        <v>934</v>
      </c>
      <c r="X118" t="s">
        <v>923</v>
      </c>
      <c r="Y118" s="7"/>
      <c r="Z118" s="7"/>
      <c r="AJ118" s="7"/>
    </row>
    <row r="119" spans="1:36" ht="15.95">
      <c r="B119" t="s">
        <v>291</v>
      </c>
      <c r="E119" t="s">
        <v>914</v>
      </c>
      <c r="F119">
        <v>2018</v>
      </c>
      <c r="G119" t="s">
        <v>915</v>
      </c>
      <c r="I119" s="7"/>
      <c r="J119" s="7" t="s">
        <v>930</v>
      </c>
      <c r="K119" t="s">
        <v>931</v>
      </c>
      <c r="L119" s="7"/>
      <c r="N119" s="7" t="s">
        <v>932</v>
      </c>
      <c r="O119" s="7"/>
      <c r="R119" s="7" t="s">
        <v>933</v>
      </c>
      <c r="T119" s="8"/>
      <c r="U119" s="7">
        <v>28</v>
      </c>
      <c r="V119" t="s">
        <v>921</v>
      </c>
      <c r="W119" t="s">
        <v>924</v>
      </c>
      <c r="X119" t="s">
        <v>923</v>
      </c>
      <c r="Y119" s="7"/>
      <c r="Z119" s="7"/>
      <c r="AJ119" s="7"/>
    </row>
    <row r="120" spans="1:36" ht="15.95">
      <c r="B120" t="s">
        <v>311</v>
      </c>
      <c r="E120" t="s">
        <v>935</v>
      </c>
      <c r="F120">
        <v>2024</v>
      </c>
      <c r="G120" s="16" t="s">
        <v>827</v>
      </c>
      <c r="H120">
        <v>2022</v>
      </c>
      <c r="I120" s="16" t="s">
        <v>667</v>
      </c>
      <c r="J120" s="7" t="s">
        <v>936</v>
      </c>
      <c r="K120" t="s">
        <v>937</v>
      </c>
      <c r="L120" s="7"/>
      <c r="N120" s="7" t="s">
        <v>938</v>
      </c>
      <c r="O120" s="7" t="s">
        <v>595</v>
      </c>
      <c r="R120" s="7" t="s">
        <v>939</v>
      </c>
      <c r="T120" t="s">
        <v>940</v>
      </c>
      <c r="U120" s="7" t="s">
        <v>941</v>
      </c>
      <c r="V120" t="s">
        <v>942</v>
      </c>
      <c r="W120" s="64" t="s">
        <v>943</v>
      </c>
      <c r="Y120" s="7"/>
      <c r="Z120" s="7"/>
      <c r="AJ120" s="7"/>
    </row>
    <row r="121" spans="1:36" ht="15.95">
      <c r="B121" t="s">
        <v>291</v>
      </c>
      <c r="E121" t="s">
        <v>935</v>
      </c>
      <c r="F121">
        <v>2024</v>
      </c>
      <c r="G121" s="16" t="s">
        <v>827</v>
      </c>
      <c r="H121">
        <v>2022</v>
      </c>
      <c r="I121" s="16" t="s">
        <v>667</v>
      </c>
      <c r="J121" s="7" t="s">
        <v>936</v>
      </c>
      <c r="K121" t="s">
        <v>937</v>
      </c>
      <c r="L121" s="7"/>
      <c r="N121" s="7" t="s">
        <v>938</v>
      </c>
      <c r="O121" s="7" t="s">
        <v>595</v>
      </c>
      <c r="R121" s="7" t="s">
        <v>939</v>
      </c>
      <c r="T121" t="s">
        <v>944</v>
      </c>
      <c r="U121" s="7" t="s">
        <v>941</v>
      </c>
      <c r="V121" t="s">
        <v>942</v>
      </c>
      <c r="W121" s="64" t="s">
        <v>945</v>
      </c>
      <c r="Y121" s="7"/>
      <c r="Z121" s="7"/>
      <c r="AJ121" s="7"/>
    </row>
    <row r="122" spans="1:36" ht="15.95">
      <c r="B122" t="s">
        <v>311</v>
      </c>
      <c r="E122" t="s">
        <v>935</v>
      </c>
      <c r="F122">
        <v>2024</v>
      </c>
      <c r="G122" s="16" t="s">
        <v>827</v>
      </c>
      <c r="H122">
        <v>2022</v>
      </c>
      <c r="I122" s="16" t="s">
        <v>667</v>
      </c>
      <c r="J122" s="7" t="s">
        <v>936</v>
      </c>
      <c r="K122" t="s">
        <v>937</v>
      </c>
      <c r="L122" s="7"/>
      <c r="N122" s="7" t="s">
        <v>938</v>
      </c>
      <c r="O122" s="7" t="s">
        <v>606</v>
      </c>
      <c r="R122" s="7" t="s">
        <v>939</v>
      </c>
      <c r="T122" t="s">
        <v>946</v>
      </c>
      <c r="U122" s="7" t="s">
        <v>941</v>
      </c>
      <c r="V122" t="s">
        <v>942</v>
      </c>
      <c r="W122" s="64" t="s">
        <v>947</v>
      </c>
      <c r="Y122" s="7"/>
      <c r="Z122" s="7"/>
      <c r="AJ122" s="7"/>
    </row>
    <row r="123" spans="1:36" ht="15.95">
      <c r="B123" t="s">
        <v>291</v>
      </c>
      <c r="E123" t="s">
        <v>935</v>
      </c>
      <c r="F123">
        <v>2024</v>
      </c>
      <c r="G123" s="16" t="s">
        <v>827</v>
      </c>
      <c r="H123">
        <v>2022</v>
      </c>
      <c r="I123" s="16" t="s">
        <v>667</v>
      </c>
      <c r="J123" s="7" t="s">
        <v>936</v>
      </c>
      <c r="K123" t="s">
        <v>937</v>
      </c>
      <c r="L123" s="7"/>
      <c r="N123" s="7" t="s">
        <v>938</v>
      </c>
      <c r="O123" s="7" t="s">
        <v>606</v>
      </c>
      <c r="R123" s="7" t="s">
        <v>939</v>
      </c>
      <c r="T123" t="s">
        <v>944</v>
      </c>
      <c r="U123" s="7" t="s">
        <v>941</v>
      </c>
      <c r="V123" t="s">
        <v>942</v>
      </c>
      <c r="W123" s="64" t="s">
        <v>947</v>
      </c>
      <c r="Y123" s="7"/>
      <c r="Z123" s="7"/>
      <c r="AJ123" s="7"/>
    </row>
    <row r="124" spans="1:36" ht="15.95">
      <c r="B124" t="s">
        <v>311</v>
      </c>
      <c r="E124" t="s">
        <v>935</v>
      </c>
      <c r="F124">
        <v>2024</v>
      </c>
      <c r="G124" s="16" t="s">
        <v>827</v>
      </c>
      <c r="H124">
        <v>2022</v>
      </c>
      <c r="I124" s="16" t="s">
        <v>667</v>
      </c>
      <c r="J124" s="7" t="s">
        <v>936</v>
      </c>
      <c r="K124" t="s">
        <v>937</v>
      </c>
      <c r="L124" s="7"/>
      <c r="N124" s="7" t="s">
        <v>938</v>
      </c>
      <c r="O124" s="7" t="s">
        <v>656</v>
      </c>
      <c r="R124" s="7" t="s">
        <v>939</v>
      </c>
      <c r="T124" t="s">
        <v>946</v>
      </c>
      <c r="U124" s="7" t="s">
        <v>941</v>
      </c>
      <c r="V124" t="s">
        <v>942</v>
      </c>
      <c r="W124" s="64" t="s">
        <v>948</v>
      </c>
      <c r="Y124" s="7"/>
      <c r="Z124" s="7"/>
      <c r="AJ124" s="7"/>
    </row>
    <row r="125" spans="1:36" ht="15.95">
      <c r="B125" t="s">
        <v>291</v>
      </c>
      <c r="E125" t="s">
        <v>935</v>
      </c>
      <c r="F125">
        <v>2024</v>
      </c>
      <c r="G125" s="16" t="s">
        <v>827</v>
      </c>
      <c r="H125">
        <v>2022</v>
      </c>
      <c r="I125" s="16" t="s">
        <v>667</v>
      </c>
      <c r="J125" s="7" t="s">
        <v>936</v>
      </c>
      <c r="K125" t="s">
        <v>937</v>
      </c>
      <c r="L125" s="7"/>
      <c r="N125" s="7" t="s">
        <v>938</v>
      </c>
      <c r="O125" s="7" t="s">
        <v>656</v>
      </c>
      <c r="R125" s="7" t="s">
        <v>939</v>
      </c>
      <c r="T125" t="s">
        <v>944</v>
      </c>
      <c r="U125" s="7" t="s">
        <v>941</v>
      </c>
      <c r="V125" t="s">
        <v>942</v>
      </c>
      <c r="W125" s="64" t="s">
        <v>949</v>
      </c>
      <c r="Y125" s="7"/>
      <c r="Z125" s="7"/>
      <c r="AJ125" s="7"/>
    </row>
    <row r="126" spans="1:36" ht="15.95">
      <c r="B126" t="s">
        <v>311</v>
      </c>
      <c r="E126" t="s">
        <v>935</v>
      </c>
      <c r="F126">
        <v>2024</v>
      </c>
      <c r="G126" s="16" t="s">
        <v>827</v>
      </c>
      <c r="H126">
        <v>2022</v>
      </c>
      <c r="I126" s="16" t="s">
        <v>667</v>
      </c>
      <c r="J126" s="7" t="s">
        <v>936</v>
      </c>
      <c r="K126" t="s">
        <v>937</v>
      </c>
      <c r="L126" s="7"/>
      <c r="N126" s="7" t="s">
        <v>938</v>
      </c>
      <c r="O126" s="7" t="s">
        <v>617</v>
      </c>
      <c r="R126" s="7" t="s">
        <v>939</v>
      </c>
      <c r="T126" t="s">
        <v>946</v>
      </c>
      <c r="U126" s="7" t="s">
        <v>941</v>
      </c>
      <c r="V126" t="s">
        <v>942</v>
      </c>
      <c r="W126" s="64" t="s">
        <v>950</v>
      </c>
      <c r="Y126" s="7"/>
      <c r="Z126" s="7"/>
      <c r="AJ126" s="7"/>
    </row>
    <row r="127" spans="1:36" ht="15.95">
      <c r="B127" t="s">
        <v>291</v>
      </c>
      <c r="E127" t="s">
        <v>935</v>
      </c>
      <c r="F127">
        <v>2024</v>
      </c>
      <c r="G127" s="16" t="s">
        <v>827</v>
      </c>
      <c r="H127">
        <v>2022</v>
      </c>
      <c r="I127" s="16" t="s">
        <v>667</v>
      </c>
      <c r="J127" s="7" t="s">
        <v>936</v>
      </c>
      <c r="K127" t="s">
        <v>937</v>
      </c>
      <c r="L127" s="7"/>
      <c r="N127" s="7" t="s">
        <v>938</v>
      </c>
      <c r="O127" s="7" t="s">
        <v>617</v>
      </c>
      <c r="R127" s="7" t="s">
        <v>939</v>
      </c>
      <c r="T127" t="s">
        <v>944</v>
      </c>
      <c r="U127" s="7" t="s">
        <v>941</v>
      </c>
      <c r="V127" t="s">
        <v>942</v>
      </c>
      <c r="W127" s="64" t="s">
        <v>951</v>
      </c>
      <c r="Y127" s="7"/>
      <c r="Z127" s="7"/>
      <c r="AJ127" s="7"/>
    </row>
    <row r="128" spans="1:36" ht="15.95">
      <c r="B128" t="s">
        <v>952</v>
      </c>
      <c r="E128" t="s">
        <v>935</v>
      </c>
      <c r="F128">
        <v>2024</v>
      </c>
      <c r="G128" s="16" t="s">
        <v>827</v>
      </c>
      <c r="H128">
        <v>2022</v>
      </c>
      <c r="I128" s="16" t="s">
        <v>667</v>
      </c>
      <c r="J128" s="7" t="s">
        <v>936</v>
      </c>
      <c r="K128" t="s">
        <v>937</v>
      </c>
      <c r="L128" s="7"/>
      <c r="N128" s="7" t="s">
        <v>938</v>
      </c>
      <c r="O128" s="7" t="s">
        <v>953</v>
      </c>
      <c r="R128" s="7" t="s">
        <v>939</v>
      </c>
      <c r="T128" t="s">
        <v>952</v>
      </c>
      <c r="U128" s="7" t="s">
        <v>941</v>
      </c>
      <c r="V128" t="s">
        <v>942</v>
      </c>
      <c r="W128" s="64" t="s">
        <v>954</v>
      </c>
      <c r="Y128" s="7"/>
      <c r="Z128" s="7"/>
      <c r="AJ128" s="7"/>
    </row>
    <row r="129" spans="1:36" ht="15.95">
      <c r="B129" t="s">
        <v>955</v>
      </c>
      <c r="E129" t="s">
        <v>935</v>
      </c>
      <c r="F129">
        <v>2024</v>
      </c>
      <c r="G129" s="16" t="s">
        <v>827</v>
      </c>
      <c r="H129">
        <v>2022</v>
      </c>
      <c r="I129" s="16" t="s">
        <v>667</v>
      </c>
      <c r="J129" s="7" t="s">
        <v>936</v>
      </c>
      <c r="K129" t="s">
        <v>956</v>
      </c>
      <c r="L129" s="7"/>
      <c r="N129" s="7" t="s">
        <v>938</v>
      </c>
      <c r="O129" s="7" t="s">
        <v>953</v>
      </c>
      <c r="R129" s="7" t="s">
        <v>939</v>
      </c>
      <c r="T129" t="s">
        <v>955</v>
      </c>
      <c r="U129" s="7"/>
      <c r="V129" t="s">
        <v>957</v>
      </c>
      <c r="W129">
        <v>0</v>
      </c>
      <c r="Y129" s="7"/>
      <c r="Z129" s="7"/>
      <c r="AJ129" s="7"/>
    </row>
    <row r="130" spans="1:36" ht="15.95">
      <c r="B130" t="s">
        <v>958</v>
      </c>
      <c r="E130" t="s">
        <v>893</v>
      </c>
      <c r="F130">
        <v>2023</v>
      </c>
      <c r="G130" s="16" t="s">
        <v>894</v>
      </c>
      <c r="H130">
        <v>2023</v>
      </c>
      <c r="I130" s="16" t="s">
        <v>754</v>
      </c>
      <c r="J130" s="7" t="s">
        <v>753</v>
      </c>
      <c r="K130" t="s">
        <v>796</v>
      </c>
      <c r="L130" s="7"/>
      <c r="N130" s="7" t="s">
        <v>895</v>
      </c>
      <c r="O130" s="7" t="s">
        <v>754</v>
      </c>
      <c r="R130" s="7" t="s">
        <v>743</v>
      </c>
      <c r="T130" t="s">
        <v>958</v>
      </c>
      <c r="U130" s="7"/>
      <c r="W130" s="56" t="s">
        <v>959</v>
      </c>
      <c r="Y130" s="7"/>
      <c r="Z130" s="7"/>
      <c r="AJ130" s="7"/>
    </row>
    <row r="131" spans="1:36" ht="15.95">
      <c r="B131" t="s">
        <v>958</v>
      </c>
      <c r="E131" t="s">
        <v>960</v>
      </c>
      <c r="F131">
        <v>2024</v>
      </c>
      <c r="G131" t="s">
        <v>57</v>
      </c>
      <c r="H131">
        <v>2023</v>
      </c>
      <c r="I131" s="16" t="s">
        <v>961</v>
      </c>
      <c r="J131" s="7" t="s">
        <v>753</v>
      </c>
      <c r="K131" t="s">
        <v>796</v>
      </c>
      <c r="L131" s="7"/>
      <c r="N131" s="7" t="s">
        <v>743</v>
      </c>
      <c r="O131" s="7" t="s">
        <v>754</v>
      </c>
      <c r="R131" s="7" t="s">
        <v>743</v>
      </c>
      <c r="S131" s="7" t="s">
        <v>962</v>
      </c>
      <c r="T131" t="s">
        <v>958</v>
      </c>
      <c r="U131" s="7" t="s">
        <v>963</v>
      </c>
      <c r="W131" s="56" t="s">
        <v>964</v>
      </c>
      <c r="X131" t="s">
        <v>965</v>
      </c>
      <c r="Y131" s="7"/>
      <c r="Z131" s="7"/>
      <c r="AJ131" s="7"/>
    </row>
    <row r="132" spans="1:36" ht="15.95">
      <c r="B132" t="s">
        <v>966</v>
      </c>
      <c r="E132" t="s">
        <v>967</v>
      </c>
      <c r="F132">
        <v>2006</v>
      </c>
      <c r="G132" t="s">
        <v>968</v>
      </c>
      <c r="I132" s="16"/>
      <c r="J132" s="7" t="s">
        <v>611</v>
      </c>
      <c r="K132" t="s">
        <v>969</v>
      </c>
      <c r="L132" s="7"/>
      <c r="N132" s="7" t="s">
        <v>970</v>
      </c>
      <c r="O132" s="7" t="s">
        <v>971</v>
      </c>
      <c r="R132" s="7" t="s">
        <v>972</v>
      </c>
      <c r="S132" s="7">
        <v>1</v>
      </c>
      <c r="T132" t="s">
        <v>966</v>
      </c>
      <c r="U132" s="7" t="s">
        <v>973</v>
      </c>
      <c r="V132">
        <v>2002</v>
      </c>
      <c r="W132" t="s">
        <v>974</v>
      </c>
      <c r="X132" t="s">
        <v>975</v>
      </c>
      <c r="Y132" s="7"/>
      <c r="Z132" s="7"/>
      <c r="AJ132" s="7"/>
    </row>
    <row r="133" spans="1:36" ht="15.95">
      <c r="B133" t="s">
        <v>976</v>
      </c>
      <c r="E133" t="s">
        <v>967</v>
      </c>
      <c r="F133">
        <v>2006</v>
      </c>
      <c r="G133" t="s">
        <v>968</v>
      </c>
      <c r="I133" s="16"/>
      <c r="J133" s="7" t="s">
        <v>611</v>
      </c>
      <c r="K133" t="s">
        <v>969</v>
      </c>
      <c r="L133" s="7"/>
      <c r="N133" s="7" t="s">
        <v>970</v>
      </c>
      <c r="O133" s="7" t="s">
        <v>971</v>
      </c>
      <c r="R133" s="7" t="s">
        <v>972</v>
      </c>
      <c r="S133" s="7">
        <v>1</v>
      </c>
      <c r="T133" t="s">
        <v>976</v>
      </c>
      <c r="U133" s="7" t="s">
        <v>973</v>
      </c>
      <c r="V133">
        <v>2002</v>
      </c>
      <c r="W133" t="s">
        <v>977</v>
      </c>
      <c r="X133" t="s">
        <v>978</v>
      </c>
      <c r="Y133" s="7"/>
      <c r="Z133" s="7"/>
      <c r="AJ133" s="7"/>
    </row>
    <row r="134" spans="1:36" ht="15.95">
      <c r="B134" t="s">
        <v>979</v>
      </c>
      <c r="E134" t="s">
        <v>967</v>
      </c>
      <c r="F134">
        <v>2006</v>
      </c>
      <c r="G134" t="s">
        <v>968</v>
      </c>
      <c r="I134" s="16"/>
      <c r="J134" s="7" t="s">
        <v>611</v>
      </c>
      <c r="K134" t="s">
        <v>969</v>
      </c>
      <c r="L134" s="7"/>
      <c r="N134" s="7" t="s">
        <v>970</v>
      </c>
      <c r="O134" s="7" t="s">
        <v>971</v>
      </c>
      <c r="R134" s="7" t="s">
        <v>972</v>
      </c>
      <c r="S134" s="7">
        <v>1</v>
      </c>
      <c r="T134" t="s">
        <v>979</v>
      </c>
      <c r="U134" s="7" t="s">
        <v>973</v>
      </c>
      <c r="V134">
        <v>2002</v>
      </c>
      <c r="W134" t="s">
        <v>980</v>
      </c>
      <c r="X134" t="s">
        <v>981</v>
      </c>
      <c r="Y134" s="7"/>
      <c r="Z134" s="7"/>
      <c r="AJ134" s="7"/>
    </row>
    <row r="135" spans="1:36" ht="15.95">
      <c r="B135" t="s">
        <v>982</v>
      </c>
      <c r="E135" t="s">
        <v>967</v>
      </c>
      <c r="F135">
        <v>2006</v>
      </c>
      <c r="G135" t="s">
        <v>968</v>
      </c>
      <c r="I135" s="16"/>
      <c r="J135" s="7" t="s">
        <v>611</v>
      </c>
      <c r="K135" t="s">
        <v>969</v>
      </c>
      <c r="L135" s="7"/>
      <c r="N135" s="7" t="s">
        <v>970</v>
      </c>
      <c r="O135" s="7" t="s">
        <v>971</v>
      </c>
      <c r="R135" s="7" t="s">
        <v>972</v>
      </c>
      <c r="S135" s="7">
        <v>1</v>
      </c>
      <c r="T135" t="s">
        <v>982</v>
      </c>
      <c r="U135" s="7" t="s">
        <v>973</v>
      </c>
      <c r="V135">
        <v>2002</v>
      </c>
      <c r="W135" t="s">
        <v>983</v>
      </c>
      <c r="X135" t="s">
        <v>984</v>
      </c>
      <c r="Y135" s="7"/>
      <c r="Z135" s="7"/>
      <c r="AJ135" s="7"/>
    </row>
    <row r="136" spans="1:36" ht="15.95">
      <c r="B136" t="s">
        <v>291</v>
      </c>
      <c r="E136" t="s">
        <v>985</v>
      </c>
      <c r="F136">
        <v>2007</v>
      </c>
      <c r="G136" t="s">
        <v>986</v>
      </c>
      <c r="I136" s="16"/>
      <c r="J136" s="7" t="s">
        <v>987</v>
      </c>
      <c r="K136" t="s">
        <v>988</v>
      </c>
      <c r="L136" s="7"/>
      <c r="N136" s="7" t="s">
        <v>989</v>
      </c>
      <c r="O136" s="7" t="s">
        <v>990</v>
      </c>
      <c r="R136" s="7" t="s">
        <v>991</v>
      </c>
      <c r="S136" s="7">
        <v>2</v>
      </c>
      <c r="T136" t="s">
        <v>291</v>
      </c>
      <c r="U136" s="7">
        <v>78</v>
      </c>
      <c r="V136">
        <v>2000</v>
      </c>
      <c r="W136" t="s">
        <v>992</v>
      </c>
      <c r="Y136" s="7" t="s">
        <v>993</v>
      </c>
      <c r="Z136" s="7"/>
      <c r="AJ136" s="7"/>
    </row>
    <row r="137" spans="1:36" ht="15.95">
      <c r="B137" t="s">
        <v>994</v>
      </c>
      <c r="E137" t="s">
        <v>985</v>
      </c>
      <c r="F137">
        <v>2007</v>
      </c>
      <c r="G137" t="s">
        <v>986</v>
      </c>
      <c r="I137" s="16"/>
      <c r="J137" s="7" t="s">
        <v>987</v>
      </c>
      <c r="K137" t="s">
        <v>988</v>
      </c>
      <c r="L137" s="7"/>
      <c r="N137" s="7" t="s">
        <v>989</v>
      </c>
      <c r="O137" s="7" t="s">
        <v>990</v>
      </c>
      <c r="R137" s="7" t="s">
        <v>991</v>
      </c>
      <c r="S137" s="7">
        <v>3</v>
      </c>
      <c r="T137" t="s">
        <v>994</v>
      </c>
      <c r="U137" s="7">
        <v>78</v>
      </c>
      <c r="V137">
        <v>2000</v>
      </c>
      <c r="W137" t="s">
        <v>995</v>
      </c>
      <c r="Y137" s="7" t="s">
        <v>996</v>
      </c>
      <c r="Z137" s="7"/>
      <c r="AJ137" s="7"/>
    </row>
    <row r="138" spans="1:36" ht="15.95">
      <c r="B138" t="s">
        <v>997</v>
      </c>
      <c r="E138" t="s">
        <v>985</v>
      </c>
      <c r="F138">
        <v>2007</v>
      </c>
      <c r="G138" t="s">
        <v>986</v>
      </c>
      <c r="I138" s="16"/>
      <c r="J138" s="7" t="s">
        <v>987</v>
      </c>
      <c r="K138" t="s">
        <v>988</v>
      </c>
      <c r="L138" s="7"/>
      <c r="N138" s="7" t="s">
        <v>989</v>
      </c>
      <c r="O138" s="7" t="s">
        <v>990</v>
      </c>
      <c r="R138" s="7" t="s">
        <v>991</v>
      </c>
      <c r="S138" s="7">
        <v>3</v>
      </c>
      <c r="T138" t="s">
        <v>997</v>
      </c>
      <c r="U138" s="7">
        <v>78</v>
      </c>
      <c r="V138">
        <v>2000</v>
      </c>
      <c r="W138" t="s">
        <v>998</v>
      </c>
      <c r="Y138" s="7" t="s">
        <v>999</v>
      </c>
      <c r="Z138" s="7"/>
      <c r="AJ138" s="7"/>
    </row>
    <row r="139" spans="1:36" ht="15.95">
      <c r="B139" t="s">
        <v>1000</v>
      </c>
      <c r="E139" t="s">
        <v>985</v>
      </c>
      <c r="F139">
        <v>2007</v>
      </c>
      <c r="G139" t="s">
        <v>986</v>
      </c>
      <c r="I139" s="16"/>
      <c r="J139" s="7" t="s">
        <v>987</v>
      </c>
      <c r="K139" t="s">
        <v>988</v>
      </c>
      <c r="L139" s="7"/>
      <c r="N139" s="7" t="s">
        <v>989</v>
      </c>
      <c r="O139" s="7" t="s">
        <v>990</v>
      </c>
      <c r="R139" s="7" t="s">
        <v>991</v>
      </c>
      <c r="S139" s="7">
        <v>3</v>
      </c>
      <c r="T139" t="s">
        <v>1000</v>
      </c>
      <c r="U139" s="7">
        <v>78</v>
      </c>
      <c r="V139">
        <v>2000</v>
      </c>
      <c r="W139" t="s">
        <v>1001</v>
      </c>
      <c r="Y139" s="7" t="s">
        <v>1002</v>
      </c>
      <c r="Z139" s="7"/>
      <c r="AJ139" s="7"/>
    </row>
    <row r="140" spans="1:36">
      <c r="I140" s="16"/>
      <c r="J140" s="7"/>
      <c r="L140" s="7"/>
      <c r="N140" s="7"/>
      <c r="O140" s="7"/>
      <c r="R140" s="7"/>
      <c r="U140" s="7"/>
      <c r="Y140" s="7"/>
      <c r="Z140" s="7"/>
      <c r="AJ140" s="7"/>
    </row>
    <row r="141" spans="1:36" ht="15.95">
      <c r="B141" s="8"/>
    </row>
    <row r="142" spans="1:36" ht="15.95">
      <c r="A142" s="55" t="s">
        <v>345</v>
      </c>
      <c r="B142" s="16" t="s">
        <v>1003</v>
      </c>
      <c r="C142" s="16"/>
      <c r="D142" s="16"/>
      <c r="E142" s="16" t="s">
        <v>1004</v>
      </c>
      <c r="F142" s="16">
        <v>2015</v>
      </c>
      <c r="G142" t="s">
        <v>57</v>
      </c>
      <c r="H142" s="16"/>
      <c r="I142" s="16" t="s">
        <v>592</v>
      </c>
      <c r="J142" s="16" t="s">
        <v>741</v>
      </c>
      <c r="K142" s="16" t="s">
        <v>1005</v>
      </c>
      <c r="L142" s="16" t="s">
        <v>1006</v>
      </c>
      <c r="M142" s="16"/>
      <c r="N142" s="22" t="s">
        <v>1007</v>
      </c>
      <c r="O142" s="16" t="s">
        <v>595</v>
      </c>
      <c r="P142" s="16"/>
      <c r="Q142" s="16"/>
      <c r="R142" s="16" t="s">
        <v>1008</v>
      </c>
      <c r="S142" s="16"/>
      <c r="T142" s="16"/>
      <c r="U142" s="16"/>
      <c r="V142" s="16"/>
      <c r="W142" s="16"/>
      <c r="X142" s="16"/>
      <c r="Y142" s="16" t="s">
        <v>1009</v>
      </c>
    </row>
    <row r="143" spans="1:36" ht="15.75" customHeight="1">
      <c r="A143" s="16"/>
      <c r="B143" s="16" t="s">
        <v>1003</v>
      </c>
      <c r="C143" s="16"/>
      <c r="D143" s="16"/>
      <c r="E143" s="16" t="s">
        <v>1010</v>
      </c>
      <c r="F143" s="16">
        <v>2021</v>
      </c>
      <c r="G143" s="16" t="s">
        <v>827</v>
      </c>
      <c r="H143" s="16" t="s">
        <v>1011</v>
      </c>
      <c r="I143" s="16" t="s">
        <v>1012</v>
      </c>
      <c r="J143" s="16" t="s">
        <v>1013</v>
      </c>
      <c r="K143" s="16"/>
      <c r="L143" s="16"/>
      <c r="M143" s="16"/>
      <c r="N143" s="16"/>
      <c r="O143" s="16" t="s">
        <v>617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 t="s">
        <v>1014</v>
      </c>
    </row>
    <row r="144" spans="1:36" ht="15.75" customHeight="1">
      <c r="A144" s="16"/>
      <c r="B144" s="16" t="s">
        <v>1003</v>
      </c>
      <c r="C144" s="16"/>
      <c r="D144" s="16" t="s">
        <v>796</v>
      </c>
      <c r="E144" s="16" t="s">
        <v>1015</v>
      </c>
      <c r="F144" s="16">
        <v>2012</v>
      </c>
      <c r="G144" s="16" t="s">
        <v>1016</v>
      </c>
      <c r="H144" s="16"/>
      <c r="I144" s="16" t="s">
        <v>1017</v>
      </c>
      <c r="J144" s="16"/>
      <c r="K144" s="16"/>
      <c r="L144" s="16"/>
      <c r="M144" s="16"/>
      <c r="N144" s="16" t="s">
        <v>1018</v>
      </c>
      <c r="O144" s="16"/>
      <c r="P144" s="16"/>
      <c r="Q144" s="16"/>
      <c r="R144" s="16"/>
      <c r="S144" s="16" t="s">
        <v>1019</v>
      </c>
      <c r="T144" s="16"/>
      <c r="U144" s="16"/>
      <c r="V144" s="16"/>
      <c r="W144" s="16"/>
      <c r="X144" s="16"/>
      <c r="Y144" s="16" t="s">
        <v>1020</v>
      </c>
    </row>
    <row r="145" spans="1:26" ht="15.75" customHeight="1">
      <c r="A145" s="16"/>
      <c r="B145" s="16" t="s">
        <v>1003</v>
      </c>
      <c r="C145" s="16"/>
      <c r="D145" s="16"/>
      <c r="E145" s="16" t="s">
        <v>1021</v>
      </c>
      <c r="F145" s="16">
        <v>2013</v>
      </c>
      <c r="G145" s="16" t="s">
        <v>1022</v>
      </c>
      <c r="H145" s="16"/>
      <c r="I145" s="16" t="s">
        <v>592</v>
      </c>
      <c r="J145" s="16" t="s">
        <v>1023</v>
      </c>
      <c r="K145" s="16" t="s">
        <v>1024</v>
      </c>
      <c r="L145" s="16"/>
      <c r="M145" s="16"/>
      <c r="N145" s="16" t="s">
        <v>1025</v>
      </c>
      <c r="O145" s="16"/>
      <c r="P145" s="16"/>
      <c r="Q145" s="16"/>
      <c r="R145" s="16"/>
      <c r="S145" s="16" t="s">
        <v>1026</v>
      </c>
      <c r="T145" s="16" t="s">
        <v>1027</v>
      </c>
      <c r="U145" t="s">
        <v>1028</v>
      </c>
      <c r="V145" s="16" t="s">
        <v>1029</v>
      </c>
      <c r="W145" s="16"/>
      <c r="X145" s="16" t="s">
        <v>1030</v>
      </c>
      <c r="Y145" s="16"/>
    </row>
    <row r="146" spans="1:26" ht="15.75" customHeight="1">
      <c r="A146" s="16"/>
      <c r="B146" s="16" t="s">
        <v>1003</v>
      </c>
      <c r="C146" s="16"/>
      <c r="D146" s="16"/>
      <c r="E146" s="16" t="s">
        <v>1021</v>
      </c>
      <c r="F146" s="16">
        <v>2014</v>
      </c>
      <c r="G146" s="16" t="s">
        <v>1022</v>
      </c>
      <c r="H146" s="16"/>
      <c r="I146" s="16" t="s">
        <v>592</v>
      </c>
      <c r="J146" s="16" t="s">
        <v>1023</v>
      </c>
      <c r="K146" s="16" t="s">
        <v>1024</v>
      </c>
      <c r="L146" s="16"/>
      <c r="M146" s="16"/>
      <c r="N146" s="16" t="s">
        <v>1025</v>
      </c>
      <c r="O146" s="16"/>
      <c r="P146" s="16"/>
      <c r="Q146" s="16"/>
      <c r="R146" s="16"/>
      <c r="S146" s="16" t="s">
        <v>1026</v>
      </c>
      <c r="T146" s="16" t="s">
        <v>1031</v>
      </c>
      <c r="U146" t="s">
        <v>1028</v>
      </c>
      <c r="V146" s="16" t="s">
        <v>1029</v>
      </c>
      <c r="W146" s="16"/>
      <c r="X146" s="16" t="s">
        <v>1032</v>
      </c>
      <c r="Y146" s="16"/>
    </row>
    <row r="147" spans="1:26" ht="15.75" customHeight="1">
      <c r="A147" s="16"/>
      <c r="B147" s="16" t="s">
        <v>1033</v>
      </c>
      <c r="C147" s="16"/>
      <c r="D147" s="16"/>
      <c r="E147" s="16" t="s">
        <v>1034</v>
      </c>
      <c r="F147" s="16">
        <v>2023</v>
      </c>
      <c r="G147" s="16" t="s">
        <v>1035</v>
      </c>
      <c r="H147" s="16"/>
      <c r="I147" s="16" t="s">
        <v>592</v>
      </c>
      <c r="J147" s="16" t="s">
        <v>1036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V147" s="16"/>
      <c r="W147" s="16"/>
      <c r="X147" s="16"/>
      <c r="Y147" s="16" t="s">
        <v>1037</v>
      </c>
    </row>
    <row r="148" spans="1:26" ht="15.75" customHeight="1">
      <c r="A148" s="16"/>
      <c r="B148" s="16" t="s">
        <v>1038</v>
      </c>
      <c r="C148" s="16"/>
      <c r="D148" s="16"/>
      <c r="E148" s="16" t="s">
        <v>1039</v>
      </c>
      <c r="F148" s="16">
        <v>2016</v>
      </c>
      <c r="G148" s="16" t="s">
        <v>1040</v>
      </c>
      <c r="H148" s="16" t="s">
        <v>796</v>
      </c>
      <c r="I148" s="16" t="s">
        <v>1041</v>
      </c>
      <c r="J148" s="16" t="s">
        <v>1042</v>
      </c>
      <c r="K148" s="16" t="s">
        <v>1043</v>
      </c>
      <c r="L148" s="16"/>
      <c r="M148" s="16"/>
      <c r="N148" s="16" t="s">
        <v>1044</v>
      </c>
      <c r="O148" s="16"/>
      <c r="P148" s="16"/>
      <c r="Q148" s="16"/>
      <c r="R148" s="16"/>
      <c r="S148" s="16"/>
      <c r="T148" s="16" t="s">
        <v>1045</v>
      </c>
      <c r="V148" s="16"/>
      <c r="W148" s="16"/>
      <c r="X148" s="16" t="s">
        <v>1046</v>
      </c>
      <c r="Y148" s="16"/>
    </row>
    <row r="149" spans="1:26" ht="15.75" customHeight="1">
      <c r="A149" s="16"/>
      <c r="B149" s="16" t="s">
        <v>1047</v>
      </c>
      <c r="C149" s="16"/>
      <c r="D149" s="16" t="s">
        <v>796</v>
      </c>
      <c r="E149" s="16" t="s">
        <v>1048</v>
      </c>
      <c r="F149" s="16">
        <v>2021</v>
      </c>
      <c r="G149" s="16" t="s">
        <v>894</v>
      </c>
      <c r="H149" s="16" t="s">
        <v>796</v>
      </c>
      <c r="I149" s="16" t="s">
        <v>1049</v>
      </c>
      <c r="J149" s="16"/>
      <c r="K149" s="16"/>
      <c r="L149" s="16"/>
      <c r="M149" s="16"/>
      <c r="N149" s="16" t="s">
        <v>1049</v>
      </c>
      <c r="O149" s="16"/>
      <c r="P149" s="16"/>
      <c r="Q149" s="16"/>
      <c r="R149" s="16"/>
      <c r="S149" s="16"/>
      <c r="T149" s="16" t="s">
        <v>1050</v>
      </c>
      <c r="V149" s="16"/>
      <c r="W149" s="16"/>
      <c r="X149" s="16"/>
      <c r="Y149" s="16" t="s">
        <v>1051</v>
      </c>
    </row>
    <row r="150" spans="1:26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V150" s="16"/>
      <c r="W150" s="16"/>
      <c r="X150" s="16"/>
      <c r="Y150" s="16"/>
    </row>
    <row r="151" spans="1:26" ht="15.95">
      <c r="A151" s="34"/>
    </row>
    <row r="152" spans="1:26" ht="15.95">
      <c r="A152" s="34" t="s">
        <v>1052</v>
      </c>
    </row>
    <row r="153" spans="1:26" ht="15.95">
      <c r="A153" s="34"/>
    </row>
    <row r="155" spans="1:26" ht="15.75" customHeight="1">
      <c r="A155" s="34" t="s">
        <v>355</v>
      </c>
    </row>
    <row r="157" spans="1:26" ht="15.75" customHeight="1">
      <c r="A157" s="34" t="s">
        <v>132</v>
      </c>
    </row>
    <row r="159" spans="1:26" ht="15.75" customHeight="1">
      <c r="A159" s="55" t="s">
        <v>1053</v>
      </c>
    </row>
    <row r="160" spans="1:26" ht="15.75" customHeight="1">
      <c r="E160" s="16" t="s">
        <v>766</v>
      </c>
      <c r="F160" s="16">
        <v>2014</v>
      </c>
      <c r="G160" s="16" t="s">
        <v>836</v>
      </c>
      <c r="H160" s="16" t="s">
        <v>837</v>
      </c>
      <c r="I160" s="16" t="s">
        <v>838</v>
      </c>
      <c r="J160" s="16"/>
      <c r="K160" s="16"/>
      <c r="L160" s="16"/>
      <c r="M160" s="16"/>
      <c r="N160" s="16"/>
      <c r="O160" s="16" t="s">
        <v>839</v>
      </c>
      <c r="P160" s="16"/>
      <c r="Q160" s="16"/>
      <c r="R160" s="16" t="s">
        <v>1054</v>
      </c>
      <c r="S160" s="16"/>
      <c r="T160" s="16"/>
      <c r="U160" s="16"/>
      <c r="V160" s="16">
        <v>10</v>
      </c>
      <c r="W160" s="16"/>
      <c r="X160" s="16"/>
      <c r="Y160" s="17" t="s">
        <v>845</v>
      </c>
      <c r="Z160" t="s">
        <v>846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9F3F-8A32-644E-955E-267F3AEEDB41}">
  <dimension ref="A1:AL121"/>
  <sheetViews>
    <sheetView zoomScale="110" zoomScaleNormal="110" workbookViewId="0">
      <pane ySplit="3" topLeftCell="A94" activePane="bottomLeft" state="frozen"/>
      <selection pane="bottomLeft" activeCell="A3" sqref="A3:XFD3"/>
    </sheetView>
  </sheetViews>
  <sheetFormatPr defaultColWidth="11" defaultRowHeight="15.75" customHeight="1"/>
  <cols>
    <col min="1" max="1" width="31.625" customWidth="1"/>
    <col min="2" max="2" width="34.375" customWidth="1"/>
    <col min="4" max="4" width="16.875" customWidth="1"/>
    <col min="5" max="5" width="14" customWidth="1"/>
    <col min="14" max="14" width="17.375" customWidth="1"/>
    <col min="15" max="15" width="16.625" bestFit="1" customWidth="1"/>
    <col min="18" max="18" width="12.5" customWidth="1"/>
    <col min="19" max="19" width="10.875" style="7"/>
    <col min="20" max="20" width="13.875" style="7" customWidth="1"/>
    <col min="23" max="23" width="15" customWidth="1"/>
    <col min="24" max="24" width="15.625" customWidth="1"/>
    <col min="25" max="25" width="14.875" customWidth="1"/>
    <col min="26" max="27" width="16.375" customWidth="1"/>
    <col min="34" max="34" width="15.875" customWidth="1"/>
    <col min="35" max="35" width="18.375" customWidth="1"/>
    <col min="36" max="36" width="15.875" customWidth="1"/>
    <col min="37" max="37" width="23.125" customWidth="1"/>
    <col min="38" max="38" width="18.375" customWidth="1"/>
  </cols>
  <sheetData>
    <row r="1" spans="1:38" ht="15.75" customHeight="1">
      <c r="T1"/>
    </row>
    <row r="2" spans="1:38" ht="18.95">
      <c r="T2"/>
      <c r="U2" s="7" t="s">
        <v>0</v>
      </c>
      <c r="V2" s="7" t="s">
        <v>0</v>
      </c>
      <c r="W2" s="7" t="s">
        <v>1055</v>
      </c>
      <c r="X2" s="7" t="s">
        <v>1055</v>
      </c>
      <c r="Y2" s="7" t="s">
        <v>2</v>
      </c>
      <c r="Z2" s="7" t="s">
        <v>2</v>
      </c>
      <c r="AA2" s="7" t="s">
        <v>3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5</v>
      </c>
    </row>
    <row r="3" spans="1:38" ht="15.95">
      <c r="A3" s="9" t="s">
        <v>6</v>
      </c>
      <c r="B3" s="9" t="s">
        <v>7</v>
      </c>
      <c r="C3" s="1" t="s">
        <v>8</v>
      </c>
      <c r="D3" s="2" t="s">
        <v>9</v>
      </c>
      <c r="E3" s="3" t="s">
        <v>10</v>
      </c>
      <c r="F3" s="2" t="s">
        <v>11</v>
      </c>
      <c r="G3" s="2" t="s">
        <v>12</v>
      </c>
      <c r="H3" s="1" t="s">
        <v>13</v>
      </c>
      <c r="I3" s="1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23</v>
      </c>
      <c r="S3" s="11" t="s">
        <v>24</v>
      </c>
      <c r="T3" s="4" t="s">
        <v>25</v>
      </c>
      <c r="U3" s="11" t="s">
        <v>26</v>
      </c>
      <c r="V3" s="11" t="s">
        <v>27</v>
      </c>
      <c r="W3" s="10" t="s">
        <v>1056</v>
      </c>
      <c r="X3" s="10" t="s">
        <v>29</v>
      </c>
      <c r="Y3" s="4" t="s">
        <v>30</v>
      </c>
      <c r="Z3" s="5" t="s">
        <v>31</v>
      </c>
      <c r="AA3" s="6" t="s">
        <v>32</v>
      </c>
      <c r="AB3" s="6" t="s">
        <v>33</v>
      </c>
      <c r="AC3" s="6" t="s">
        <v>34</v>
      </c>
      <c r="AD3" s="6" t="s">
        <v>35</v>
      </c>
      <c r="AE3" s="6" t="s">
        <v>36</v>
      </c>
      <c r="AF3" s="6" t="s">
        <v>37</v>
      </c>
      <c r="AG3" s="5" t="s">
        <v>38</v>
      </c>
      <c r="AH3" s="5" t="s">
        <v>39</v>
      </c>
      <c r="AI3" s="5" t="s">
        <v>40</v>
      </c>
      <c r="AJ3" s="5" t="s">
        <v>41</v>
      </c>
      <c r="AK3" s="5" t="s">
        <v>42</v>
      </c>
      <c r="AL3" s="5" t="s">
        <v>43</v>
      </c>
    </row>
    <row r="4" spans="1:38" ht="15" customHeight="1">
      <c r="A4" t="s">
        <v>148</v>
      </c>
      <c r="B4" t="s">
        <v>1057</v>
      </c>
      <c r="C4">
        <v>2</v>
      </c>
      <c r="E4" t="s">
        <v>1058</v>
      </c>
      <c r="F4">
        <v>2020</v>
      </c>
      <c r="G4" t="s">
        <v>57</v>
      </c>
      <c r="I4" t="s">
        <v>1059</v>
      </c>
      <c r="J4" t="s">
        <v>1060</v>
      </c>
      <c r="K4" t="s">
        <v>1061</v>
      </c>
      <c r="N4" s="7" t="s">
        <v>332</v>
      </c>
      <c r="O4" t="s">
        <v>1062</v>
      </c>
      <c r="V4">
        <v>10</v>
      </c>
      <c r="Y4" s="15">
        <v>0.60210140000000001</v>
      </c>
      <c r="Z4" s="15">
        <v>-0.47437779999999996</v>
      </c>
      <c r="AA4">
        <f t="shared" ref="AA4:AA20" si="0">(Y4+Z4)*3.6666</f>
        <v>0.46831135176000016</v>
      </c>
    </row>
    <row r="5" spans="1:38" ht="15" customHeight="1">
      <c r="A5" t="s">
        <v>148</v>
      </c>
      <c r="B5" t="s">
        <v>1057</v>
      </c>
      <c r="C5">
        <v>2</v>
      </c>
      <c r="E5" t="s">
        <v>1058</v>
      </c>
      <c r="F5">
        <v>2020</v>
      </c>
      <c r="G5" t="s">
        <v>57</v>
      </c>
      <c r="I5" t="s">
        <v>1059</v>
      </c>
      <c r="J5" t="s">
        <v>1060</v>
      </c>
      <c r="K5" t="s">
        <v>1063</v>
      </c>
      <c r="N5" s="7" t="s">
        <v>332</v>
      </c>
      <c r="O5" t="s">
        <v>1062</v>
      </c>
      <c r="V5">
        <v>10</v>
      </c>
      <c r="Y5" s="15">
        <v>0.65866170000000002</v>
      </c>
      <c r="Z5" s="15">
        <v>-0.51771630000000002</v>
      </c>
      <c r="AA5">
        <f t="shared" si="0"/>
        <v>0.51679040363999995</v>
      </c>
    </row>
    <row r="6" spans="1:38" ht="15" customHeight="1">
      <c r="A6" t="s">
        <v>148</v>
      </c>
      <c r="B6" t="s">
        <v>1057</v>
      </c>
      <c r="C6">
        <v>2</v>
      </c>
      <c r="E6" t="s">
        <v>1058</v>
      </c>
      <c r="F6">
        <v>2020</v>
      </c>
      <c r="G6" t="s">
        <v>57</v>
      </c>
      <c r="I6" t="s">
        <v>1059</v>
      </c>
      <c r="J6" t="s">
        <v>1060</v>
      </c>
      <c r="K6" t="s">
        <v>1064</v>
      </c>
      <c r="N6" s="7" t="s">
        <v>332</v>
      </c>
      <c r="O6" t="s">
        <v>1062</v>
      </c>
      <c r="V6">
        <v>10</v>
      </c>
      <c r="Y6" s="15">
        <v>0.53887629999999997</v>
      </c>
      <c r="Z6" s="15">
        <v>-0.65395179999999997</v>
      </c>
      <c r="AA6">
        <f t="shared" si="0"/>
        <v>-0.42193582829999998</v>
      </c>
    </row>
    <row r="7" spans="1:38" ht="15" customHeight="1">
      <c r="A7" t="s">
        <v>148</v>
      </c>
      <c r="B7" t="s">
        <v>1057</v>
      </c>
      <c r="C7">
        <v>2</v>
      </c>
      <c r="E7" t="s">
        <v>1058</v>
      </c>
      <c r="F7">
        <v>2020</v>
      </c>
      <c r="G7" t="s">
        <v>57</v>
      </c>
      <c r="I7" t="s">
        <v>1059</v>
      </c>
      <c r="J7" t="s">
        <v>1060</v>
      </c>
      <c r="K7" t="s">
        <v>1061</v>
      </c>
      <c r="N7" s="7" t="s">
        <v>332</v>
      </c>
      <c r="O7" t="s">
        <v>1062</v>
      </c>
      <c r="V7">
        <v>50</v>
      </c>
      <c r="Y7" s="15">
        <v>1.5426202800000002</v>
      </c>
      <c r="Z7" s="15">
        <v>0.31565621999999999</v>
      </c>
      <c r="AA7">
        <f t="shared" si="0"/>
        <v>6.8135566149000004</v>
      </c>
    </row>
    <row r="8" spans="1:38" ht="15" customHeight="1">
      <c r="A8" t="s">
        <v>148</v>
      </c>
      <c r="B8" t="s">
        <v>1057</v>
      </c>
      <c r="C8">
        <v>2</v>
      </c>
      <c r="E8" t="s">
        <v>1058</v>
      </c>
      <c r="F8">
        <v>2020</v>
      </c>
      <c r="G8" t="s">
        <v>57</v>
      </c>
      <c r="I8" t="s">
        <v>1059</v>
      </c>
      <c r="J8" t="s">
        <v>1060</v>
      </c>
      <c r="K8" t="s">
        <v>1063</v>
      </c>
      <c r="N8" s="7" t="s">
        <v>332</v>
      </c>
      <c r="O8" t="s">
        <v>1062</v>
      </c>
      <c r="V8">
        <v>50</v>
      </c>
      <c r="Y8" s="15">
        <v>1.7171923600000001</v>
      </c>
      <c r="Z8" s="15">
        <v>8.7353419999999987E-2</v>
      </c>
      <c r="AA8">
        <f t="shared" si="0"/>
        <v>6.6165475569479995</v>
      </c>
    </row>
    <row r="9" spans="1:38" ht="15" customHeight="1">
      <c r="A9" t="s">
        <v>148</v>
      </c>
      <c r="B9" t="s">
        <v>1057</v>
      </c>
      <c r="C9">
        <v>2</v>
      </c>
      <c r="E9" t="s">
        <v>1058</v>
      </c>
      <c r="F9">
        <v>2020</v>
      </c>
      <c r="G9" t="s">
        <v>57</v>
      </c>
      <c r="I9" t="s">
        <v>1059</v>
      </c>
      <c r="J9" t="s">
        <v>1060</v>
      </c>
      <c r="K9" t="s">
        <v>1064</v>
      </c>
      <c r="N9" s="7" t="s">
        <v>332</v>
      </c>
      <c r="O9" t="s">
        <v>1062</v>
      </c>
      <c r="V9">
        <v>50</v>
      </c>
      <c r="Y9" s="15">
        <v>1.6005552599999999</v>
      </c>
      <c r="Z9" s="15">
        <v>5.4418480000000005E-2</v>
      </c>
      <c r="AA9">
        <f t="shared" si="0"/>
        <v>6.0681267150839995</v>
      </c>
    </row>
    <row r="10" spans="1:38" ht="15" customHeight="1">
      <c r="A10" t="s">
        <v>148</v>
      </c>
      <c r="B10" t="s">
        <v>1065</v>
      </c>
      <c r="C10">
        <v>2</v>
      </c>
      <c r="E10" t="s">
        <v>1058</v>
      </c>
      <c r="F10">
        <v>2020</v>
      </c>
      <c r="G10" t="s">
        <v>57</v>
      </c>
      <c r="I10" t="s">
        <v>1059</v>
      </c>
      <c r="J10" t="s">
        <v>1060</v>
      </c>
      <c r="K10" t="s">
        <v>1061</v>
      </c>
      <c r="N10" s="7" t="s">
        <v>332</v>
      </c>
      <c r="O10" t="s">
        <v>1062</v>
      </c>
      <c r="V10">
        <v>10</v>
      </c>
      <c r="Y10" s="15">
        <v>0.7636014000000001</v>
      </c>
      <c r="Z10" s="15">
        <v>0.25783809999999996</v>
      </c>
      <c r="AA10">
        <f t="shared" si="0"/>
        <v>3.7452100707000002</v>
      </c>
    </row>
    <row r="11" spans="1:38" ht="15" customHeight="1">
      <c r="A11" t="s">
        <v>148</v>
      </c>
      <c r="B11" t="s">
        <v>1065</v>
      </c>
      <c r="C11">
        <v>2</v>
      </c>
      <c r="E11" t="s">
        <v>1058</v>
      </c>
      <c r="F11">
        <v>2020</v>
      </c>
      <c r="G11" t="s">
        <v>57</v>
      </c>
      <c r="I11" t="s">
        <v>1059</v>
      </c>
      <c r="J11" t="s">
        <v>1060</v>
      </c>
      <c r="K11" t="s">
        <v>1063</v>
      </c>
      <c r="N11" s="7" t="s">
        <v>332</v>
      </c>
      <c r="O11" t="s">
        <v>1062</v>
      </c>
      <c r="V11">
        <v>10</v>
      </c>
      <c r="Y11" s="15">
        <v>0.84356170000000019</v>
      </c>
      <c r="Z11" s="15">
        <v>0.3138629</v>
      </c>
      <c r="AA11">
        <f t="shared" si="0"/>
        <v>4.2438130383599999</v>
      </c>
    </row>
    <row r="12" spans="1:38" ht="15" customHeight="1">
      <c r="A12" t="s">
        <v>148</v>
      </c>
      <c r="B12" t="s">
        <v>1065</v>
      </c>
      <c r="C12">
        <v>2</v>
      </c>
      <c r="E12" t="s">
        <v>1058</v>
      </c>
      <c r="F12">
        <v>2020</v>
      </c>
      <c r="G12" t="s">
        <v>57</v>
      </c>
      <c r="I12" t="s">
        <v>1059</v>
      </c>
      <c r="J12" t="s">
        <v>1060</v>
      </c>
      <c r="K12" t="s">
        <v>1064</v>
      </c>
      <c r="N12" s="7" t="s">
        <v>332</v>
      </c>
      <c r="O12" t="s">
        <v>1062</v>
      </c>
      <c r="V12">
        <v>10</v>
      </c>
      <c r="Y12" s="15">
        <v>0.7402763</v>
      </c>
      <c r="Z12" s="15">
        <v>0.29381040000000003</v>
      </c>
      <c r="AA12">
        <f t="shared" si="0"/>
        <v>3.7915822942199999</v>
      </c>
    </row>
    <row r="13" spans="1:38" ht="15" customHeight="1">
      <c r="A13" t="s">
        <v>148</v>
      </c>
      <c r="B13" t="s">
        <v>1065</v>
      </c>
      <c r="C13">
        <v>2</v>
      </c>
      <c r="E13" t="s">
        <v>1058</v>
      </c>
      <c r="F13">
        <v>2020</v>
      </c>
      <c r="G13" t="s">
        <v>57</v>
      </c>
      <c r="I13" t="s">
        <v>1059</v>
      </c>
      <c r="J13" t="s">
        <v>1060</v>
      </c>
      <c r="K13" t="s">
        <v>1061</v>
      </c>
      <c r="N13" s="7" t="s">
        <v>332</v>
      </c>
      <c r="O13" t="s">
        <v>1062</v>
      </c>
      <c r="V13">
        <v>50</v>
      </c>
      <c r="Y13" s="15">
        <v>1.54262028</v>
      </c>
      <c r="Z13" s="15">
        <v>0.36878127999999999</v>
      </c>
      <c r="AA13">
        <f t="shared" si="0"/>
        <v>7.0083449598959993</v>
      </c>
    </row>
    <row r="14" spans="1:38" ht="15" customHeight="1">
      <c r="A14" t="s">
        <v>148</v>
      </c>
      <c r="B14" t="s">
        <v>1065</v>
      </c>
      <c r="C14">
        <v>2</v>
      </c>
      <c r="E14" t="s">
        <v>1058</v>
      </c>
      <c r="F14">
        <v>2020</v>
      </c>
      <c r="G14" t="s">
        <v>57</v>
      </c>
      <c r="I14" t="s">
        <v>1059</v>
      </c>
      <c r="J14" t="s">
        <v>1060</v>
      </c>
      <c r="K14" t="s">
        <v>1063</v>
      </c>
      <c r="N14" s="7" t="s">
        <v>332</v>
      </c>
      <c r="O14" t="s">
        <v>1062</v>
      </c>
      <c r="V14">
        <v>50</v>
      </c>
      <c r="Y14" s="15">
        <v>1.71719234</v>
      </c>
      <c r="Z14" s="15">
        <v>0.18208514000000001</v>
      </c>
      <c r="AA14">
        <f t="shared" si="0"/>
        <v>6.9638908081680002</v>
      </c>
    </row>
    <row r="15" spans="1:38" ht="15" customHeight="1">
      <c r="A15" t="s">
        <v>148</v>
      </c>
      <c r="B15" t="s">
        <v>1065</v>
      </c>
      <c r="C15">
        <v>2</v>
      </c>
      <c r="E15" t="s">
        <v>1058</v>
      </c>
      <c r="F15">
        <v>2020</v>
      </c>
      <c r="G15" t="s">
        <v>57</v>
      </c>
      <c r="I15" t="s">
        <v>1059</v>
      </c>
      <c r="J15" t="s">
        <v>1060</v>
      </c>
      <c r="K15" t="s">
        <v>1064</v>
      </c>
      <c r="N15" s="7" t="s">
        <v>332</v>
      </c>
      <c r="O15" t="s">
        <v>1062</v>
      </c>
      <c r="V15">
        <v>50</v>
      </c>
      <c r="Y15" s="15">
        <v>1.60055528</v>
      </c>
      <c r="Z15" s="15">
        <v>0.17040548</v>
      </c>
      <c r="AA15">
        <f t="shared" si="0"/>
        <v>6.493404722615999</v>
      </c>
    </row>
    <row r="16" spans="1:38" ht="15.75" customHeight="1">
      <c r="A16" t="s">
        <v>148</v>
      </c>
      <c r="B16" t="s">
        <v>1066</v>
      </c>
      <c r="C16">
        <v>2</v>
      </c>
      <c r="E16" t="s">
        <v>1058</v>
      </c>
      <c r="F16">
        <v>2020</v>
      </c>
      <c r="G16" t="s">
        <v>57</v>
      </c>
      <c r="I16" t="s">
        <v>1059</v>
      </c>
      <c r="J16" t="s">
        <v>1060</v>
      </c>
      <c r="K16" t="s">
        <v>1061</v>
      </c>
      <c r="N16" s="7" t="s">
        <v>332</v>
      </c>
      <c r="O16" t="s">
        <v>1062</v>
      </c>
      <c r="V16">
        <v>10</v>
      </c>
      <c r="Y16" s="15">
        <v>0.60763644999999999</v>
      </c>
      <c r="Z16" s="15">
        <v>8.5368310000000003E-2</v>
      </c>
      <c r="AA16">
        <f t="shared" si="0"/>
        <v>2.540971253016</v>
      </c>
    </row>
    <row r="17" spans="1:27" ht="15.75" customHeight="1">
      <c r="A17" t="s">
        <v>148</v>
      </c>
      <c r="B17" t="s">
        <v>1066</v>
      </c>
      <c r="C17">
        <v>2</v>
      </c>
      <c r="E17" t="s">
        <v>1058</v>
      </c>
      <c r="F17">
        <v>2020</v>
      </c>
      <c r="G17" t="s">
        <v>57</v>
      </c>
      <c r="I17" t="s">
        <v>1059</v>
      </c>
      <c r="J17" t="s">
        <v>1060</v>
      </c>
      <c r="K17" t="s">
        <v>1063</v>
      </c>
      <c r="N17" s="7" t="s">
        <v>332</v>
      </c>
      <c r="O17" t="s">
        <v>1062</v>
      </c>
      <c r="V17">
        <v>10</v>
      </c>
      <c r="Y17" s="15">
        <v>0.72653645</v>
      </c>
      <c r="Z17" s="15">
        <v>0.1348801</v>
      </c>
      <c r="AA17">
        <f t="shared" si="0"/>
        <v>3.1584699222299997</v>
      </c>
    </row>
    <row r="18" spans="1:27" ht="15.75" customHeight="1">
      <c r="A18" t="s">
        <v>148</v>
      </c>
      <c r="B18" t="s">
        <v>1066</v>
      </c>
      <c r="C18">
        <v>2</v>
      </c>
      <c r="E18" t="s">
        <v>1058</v>
      </c>
      <c r="F18">
        <v>2020</v>
      </c>
      <c r="G18" t="s">
        <v>57</v>
      </c>
      <c r="I18" t="s">
        <v>1059</v>
      </c>
      <c r="J18" t="s">
        <v>1060</v>
      </c>
      <c r="K18" t="s">
        <v>1064</v>
      </c>
      <c r="N18" s="7" t="s">
        <v>332</v>
      </c>
      <c r="O18" t="s">
        <v>1062</v>
      </c>
      <c r="V18">
        <v>10</v>
      </c>
      <c r="Y18" s="15">
        <v>0.62413945000000004</v>
      </c>
      <c r="Z18" s="15">
        <v>0.11668054999999999</v>
      </c>
      <c r="AA18">
        <f t="shared" si="0"/>
        <v>2.7162906119999999</v>
      </c>
    </row>
    <row r="19" spans="1:27" ht="15.75" customHeight="1">
      <c r="A19" t="s">
        <v>148</v>
      </c>
      <c r="B19" t="s">
        <v>1066</v>
      </c>
      <c r="C19">
        <v>2</v>
      </c>
      <c r="E19" t="s">
        <v>1058</v>
      </c>
      <c r="F19">
        <v>2020</v>
      </c>
      <c r="G19" t="s">
        <v>57</v>
      </c>
      <c r="I19" t="s">
        <v>1059</v>
      </c>
      <c r="J19" t="s">
        <v>1060</v>
      </c>
      <c r="K19" t="s">
        <v>1061</v>
      </c>
      <c r="N19" s="7" t="s">
        <v>332</v>
      </c>
      <c r="O19" t="s">
        <v>1062</v>
      </c>
      <c r="V19">
        <v>50</v>
      </c>
      <c r="Y19" s="15">
        <v>1.3554272900000002</v>
      </c>
      <c r="Z19" s="15">
        <v>0.26100391000000001</v>
      </c>
      <c r="AA19">
        <f t="shared" si="0"/>
        <v>5.9268066379200004</v>
      </c>
    </row>
    <row r="20" spans="1:27" ht="15.75" customHeight="1">
      <c r="A20" t="s">
        <v>148</v>
      </c>
      <c r="B20" t="s">
        <v>1066</v>
      </c>
      <c r="C20">
        <v>2</v>
      </c>
      <c r="E20" t="s">
        <v>1058</v>
      </c>
      <c r="F20">
        <v>2020</v>
      </c>
      <c r="G20" t="s">
        <v>57</v>
      </c>
      <c r="I20" t="s">
        <v>1059</v>
      </c>
      <c r="J20" t="s">
        <v>1060</v>
      </c>
      <c r="K20" t="s">
        <v>1063</v>
      </c>
      <c r="N20" s="7" t="s">
        <v>332</v>
      </c>
      <c r="O20" t="s">
        <v>1062</v>
      </c>
      <c r="V20">
        <v>50</v>
      </c>
      <c r="Y20" s="15">
        <v>1.2060472900000001</v>
      </c>
      <c r="Z20" s="15">
        <v>6.7097470000000006E-2</v>
      </c>
      <c r="AA20">
        <f t="shared" si="0"/>
        <v>4.6681125770160001</v>
      </c>
    </row>
    <row r="21" spans="1:27" ht="15.75" customHeight="1">
      <c r="A21" t="s">
        <v>148</v>
      </c>
      <c r="B21" t="s">
        <v>1066</v>
      </c>
      <c r="C21">
        <v>2</v>
      </c>
      <c r="E21" t="s">
        <v>1058</v>
      </c>
      <c r="F21">
        <v>2020</v>
      </c>
      <c r="G21" t="s">
        <v>57</v>
      </c>
      <c r="I21" t="s">
        <v>1059</v>
      </c>
      <c r="J21" t="s">
        <v>1060</v>
      </c>
      <c r="K21" t="s">
        <v>1064</v>
      </c>
      <c r="N21" s="7" t="s">
        <v>332</v>
      </c>
      <c r="O21" t="s">
        <v>1062</v>
      </c>
      <c r="V21">
        <v>50</v>
      </c>
      <c r="Y21" s="15">
        <v>1.1207478900000001</v>
      </c>
      <c r="Z21" s="15">
        <v>5.6876170000000004E-2</v>
      </c>
      <c r="AA21">
        <f>(Y21+Z21)*3.6666</f>
        <v>4.3178763783959999</v>
      </c>
    </row>
    <row r="22" spans="1:27" ht="15" customHeight="1">
      <c r="A22" t="s">
        <v>148</v>
      </c>
      <c r="B22" t="s">
        <v>1057</v>
      </c>
      <c r="C22">
        <v>2</v>
      </c>
      <c r="E22" t="s">
        <v>1058</v>
      </c>
      <c r="F22">
        <v>2020</v>
      </c>
      <c r="G22" t="s">
        <v>57</v>
      </c>
      <c r="I22" t="s">
        <v>1059</v>
      </c>
      <c r="J22" t="s">
        <v>1060</v>
      </c>
      <c r="K22" t="s">
        <v>1061</v>
      </c>
      <c r="N22" s="7" t="s">
        <v>1067</v>
      </c>
      <c r="O22" t="s">
        <v>1068</v>
      </c>
      <c r="V22">
        <v>10</v>
      </c>
      <c r="Y22" s="15">
        <v>9.0139999999999665E-4</v>
      </c>
      <c r="Z22" s="15">
        <v>-0.42153560000000001</v>
      </c>
      <c r="AA22">
        <f t="shared" ref="AA22:AA43" si="1">(Y22+Z22)*3.6666</f>
        <v>-1.5422973577200001</v>
      </c>
    </row>
    <row r="23" spans="1:27" ht="15" customHeight="1">
      <c r="A23" t="s">
        <v>148</v>
      </c>
      <c r="B23" t="s">
        <v>1057</v>
      </c>
      <c r="C23">
        <v>2</v>
      </c>
      <c r="E23" t="s">
        <v>1058</v>
      </c>
      <c r="F23">
        <v>2020</v>
      </c>
      <c r="G23" t="s">
        <v>57</v>
      </c>
      <c r="I23" t="s">
        <v>1059</v>
      </c>
      <c r="J23" t="s">
        <v>1060</v>
      </c>
      <c r="K23" t="s">
        <v>1063</v>
      </c>
      <c r="N23" s="7" t="s">
        <v>1067</v>
      </c>
      <c r="O23" t="s">
        <v>1068</v>
      </c>
      <c r="V23">
        <v>10</v>
      </c>
      <c r="Y23" s="15">
        <v>4.6961799999999942E-2</v>
      </c>
      <c r="Z23" s="15">
        <v>-0.49256559999999999</v>
      </c>
      <c r="AA23">
        <f t="shared" si="1"/>
        <v>-1.6338508930800002</v>
      </c>
    </row>
    <row r="24" spans="1:27" ht="15" customHeight="1">
      <c r="A24" t="s">
        <v>148</v>
      </c>
      <c r="B24" t="s">
        <v>1057</v>
      </c>
      <c r="C24">
        <v>2</v>
      </c>
      <c r="E24" t="s">
        <v>1058</v>
      </c>
      <c r="F24">
        <v>2020</v>
      </c>
      <c r="G24" t="s">
        <v>57</v>
      </c>
      <c r="I24" t="s">
        <v>1059</v>
      </c>
      <c r="J24" t="s">
        <v>1060</v>
      </c>
      <c r="K24" t="s">
        <v>1064</v>
      </c>
      <c r="N24" s="7" t="s">
        <v>1067</v>
      </c>
      <c r="O24" t="s">
        <v>1068</v>
      </c>
      <c r="V24">
        <v>10</v>
      </c>
      <c r="Y24" s="15">
        <v>6.3763000000000014E-3</v>
      </c>
      <c r="Z24" s="15">
        <v>-0.62558179999999997</v>
      </c>
      <c r="AA24">
        <f t="shared" si="1"/>
        <v>-2.2703788862999996</v>
      </c>
    </row>
    <row r="25" spans="1:27" ht="15" customHeight="1">
      <c r="A25" t="s">
        <v>148</v>
      </c>
      <c r="B25" t="s">
        <v>1057</v>
      </c>
      <c r="C25">
        <v>2</v>
      </c>
      <c r="E25" t="s">
        <v>1058</v>
      </c>
      <c r="F25">
        <v>2020</v>
      </c>
      <c r="G25" t="s">
        <v>57</v>
      </c>
      <c r="I25" t="s">
        <v>1059</v>
      </c>
      <c r="J25" t="s">
        <v>1060</v>
      </c>
      <c r="K25" t="s">
        <v>1061</v>
      </c>
      <c r="N25" s="7" t="s">
        <v>1067</v>
      </c>
      <c r="O25" t="s">
        <v>1068</v>
      </c>
      <c r="V25">
        <v>50</v>
      </c>
      <c r="Y25" s="15">
        <v>1.40204028</v>
      </c>
      <c r="Z25" s="15">
        <v>0.46739282000000004</v>
      </c>
      <c r="AA25">
        <f t="shared" si="1"/>
        <v>6.8544634044600006</v>
      </c>
    </row>
    <row r="26" spans="1:27" ht="15" customHeight="1">
      <c r="A26" t="s">
        <v>148</v>
      </c>
      <c r="B26" t="s">
        <v>1057</v>
      </c>
      <c r="C26">
        <v>2</v>
      </c>
      <c r="E26" t="s">
        <v>1058</v>
      </c>
      <c r="F26">
        <v>2020</v>
      </c>
      <c r="G26" t="s">
        <v>57</v>
      </c>
      <c r="I26" t="s">
        <v>1059</v>
      </c>
      <c r="J26" t="s">
        <v>1060</v>
      </c>
      <c r="K26" t="s">
        <v>1063</v>
      </c>
      <c r="N26" s="7" t="s">
        <v>1067</v>
      </c>
      <c r="O26" t="s">
        <v>1068</v>
      </c>
      <c r="V26">
        <v>50</v>
      </c>
      <c r="Y26" s="15">
        <v>1.2170123400000001</v>
      </c>
      <c r="Z26" s="15">
        <v>0.26827084000000001</v>
      </c>
      <c r="AA26">
        <f t="shared" si="1"/>
        <v>5.4459393077880005</v>
      </c>
    </row>
    <row r="27" spans="1:27" ht="15" customHeight="1">
      <c r="A27" t="s">
        <v>148</v>
      </c>
      <c r="B27" t="s">
        <v>1057</v>
      </c>
      <c r="C27">
        <v>2</v>
      </c>
      <c r="E27" t="s">
        <v>1058</v>
      </c>
      <c r="F27">
        <v>2020</v>
      </c>
      <c r="G27" t="s">
        <v>57</v>
      </c>
      <c r="I27" t="s">
        <v>1059</v>
      </c>
      <c r="J27" t="s">
        <v>1060</v>
      </c>
      <c r="K27" t="s">
        <v>1064</v>
      </c>
      <c r="N27" s="7" t="s">
        <v>1067</v>
      </c>
      <c r="O27" t="s">
        <v>1068</v>
      </c>
      <c r="V27">
        <v>50</v>
      </c>
      <c r="Y27" s="15">
        <v>1.2318152799999997</v>
      </c>
      <c r="Z27" s="15">
        <v>0.23503388</v>
      </c>
      <c r="AA27">
        <f t="shared" si="1"/>
        <v>5.3783491300559989</v>
      </c>
    </row>
    <row r="28" spans="1:27" ht="15" customHeight="1">
      <c r="A28" t="s">
        <v>148</v>
      </c>
      <c r="B28" t="s">
        <v>1065</v>
      </c>
      <c r="C28">
        <v>2</v>
      </c>
      <c r="E28" t="s">
        <v>1058</v>
      </c>
      <c r="F28">
        <v>2020</v>
      </c>
      <c r="G28" t="s">
        <v>57</v>
      </c>
      <c r="I28" t="s">
        <v>1059</v>
      </c>
      <c r="J28" t="s">
        <v>1060</v>
      </c>
      <c r="K28" t="s">
        <v>1061</v>
      </c>
      <c r="N28" s="7" t="s">
        <v>1067</v>
      </c>
      <c r="O28" t="s">
        <v>1068</v>
      </c>
      <c r="V28">
        <v>10</v>
      </c>
      <c r="Y28" s="15">
        <v>0.17280139999999999</v>
      </c>
      <c r="Z28" s="15">
        <v>0.33228089999999999</v>
      </c>
      <c r="AA28">
        <f t="shared" si="1"/>
        <v>1.8519347611799999</v>
      </c>
    </row>
    <row r="29" spans="1:27" ht="15.75" customHeight="1">
      <c r="A29" t="s">
        <v>148</v>
      </c>
      <c r="B29" t="s">
        <v>1065</v>
      </c>
      <c r="C29">
        <v>2</v>
      </c>
      <c r="E29" t="s">
        <v>1058</v>
      </c>
      <c r="F29">
        <v>2020</v>
      </c>
      <c r="G29" t="s">
        <v>57</v>
      </c>
      <c r="I29" t="s">
        <v>1059</v>
      </c>
      <c r="J29" t="s">
        <v>1060</v>
      </c>
      <c r="K29" t="s">
        <v>1063</v>
      </c>
      <c r="N29" s="7" t="s">
        <v>1067</v>
      </c>
      <c r="O29" t="s">
        <v>1068</v>
      </c>
      <c r="V29">
        <v>10</v>
      </c>
      <c r="Y29" s="15">
        <v>0.21886180000000005</v>
      </c>
      <c r="Z29" s="15">
        <v>0.31076419999999999</v>
      </c>
      <c r="AA29">
        <f t="shared" si="1"/>
        <v>1.9419266916</v>
      </c>
    </row>
    <row r="30" spans="1:27" ht="15.75" customHeight="1">
      <c r="A30" t="s">
        <v>148</v>
      </c>
      <c r="B30" t="s">
        <v>1065</v>
      </c>
      <c r="C30">
        <v>2</v>
      </c>
      <c r="E30" t="s">
        <v>1058</v>
      </c>
      <c r="F30">
        <v>2020</v>
      </c>
      <c r="G30" t="s">
        <v>57</v>
      </c>
      <c r="I30" t="s">
        <v>1059</v>
      </c>
      <c r="J30" t="s">
        <v>1060</v>
      </c>
      <c r="K30" t="s">
        <v>1064</v>
      </c>
      <c r="N30" s="7" t="s">
        <v>1067</v>
      </c>
      <c r="O30" t="s">
        <v>1068</v>
      </c>
      <c r="V30">
        <v>10</v>
      </c>
      <c r="Y30" s="15">
        <v>0.19217629999999997</v>
      </c>
      <c r="Z30" s="15">
        <v>0.28686820000000002</v>
      </c>
      <c r="AA30">
        <f t="shared" si="1"/>
        <v>1.7564645636999998</v>
      </c>
    </row>
    <row r="31" spans="1:27" ht="15.75" customHeight="1">
      <c r="A31" t="s">
        <v>148</v>
      </c>
      <c r="B31" t="s">
        <v>1065</v>
      </c>
      <c r="C31">
        <v>2</v>
      </c>
      <c r="E31" t="s">
        <v>1058</v>
      </c>
      <c r="F31">
        <v>2020</v>
      </c>
      <c r="G31" t="s">
        <v>57</v>
      </c>
      <c r="I31" t="s">
        <v>1059</v>
      </c>
      <c r="J31" t="s">
        <v>1060</v>
      </c>
      <c r="K31" t="s">
        <v>1061</v>
      </c>
      <c r="N31" s="7" t="s">
        <v>1067</v>
      </c>
      <c r="O31" t="s">
        <v>1068</v>
      </c>
      <c r="V31">
        <v>50</v>
      </c>
      <c r="Y31" s="15">
        <v>1.40204028</v>
      </c>
      <c r="Z31" s="15">
        <v>0.53071175999999998</v>
      </c>
      <c r="AA31">
        <f t="shared" si="1"/>
        <v>7.0866286298639993</v>
      </c>
    </row>
    <row r="32" spans="1:27" ht="15.75" customHeight="1">
      <c r="A32" t="s">
        <v>148</v>
      </c>
      <c r="B32" t="s">
        <v>1065</v>
      </c>
      <c r="C32">
        <v>2</v>
      </c>
      <c r="E32" t="s">
        <v>1058</v>
      </c>
      <c r="F32">
        <v>2020</v>
      </c>
      <c r="G32" t="s">
        <v>57</v>
      </c>
      <c r="I32" t="s">
        <v>1059</v>
      </c>
      <c r="J32" t="s">
        <v>1060</v>
      </c>
      <c r="K32" t="s">
        <v>1063</v>
      </c>
      <c r="N32" s="7" t="s">
        <v>1067</v>
      </c>
      <c r="O32" t="s">
        <v>1068</v>
      </c>
      <c r="V32">
        <v>50</v>
      </c>
      <c r="Y32" s="15">
        <v>1.21701236</v>
      </c>
      <c r="Z32" s="15">
        <v>0.34080934000000002</v>
      </c>
      <c r="AA32">
        <f t="shared" si="1"/>
        <v>5.7119090452200005</v>
      </c>
    </row>
    <row r="33" spans="1:27" ht="15.75" customHeight="1">
      <c r="A33" t="s">
        <v>148</v>
      </c>
      <c r="B33" t="s">
        <v>1065</v>
      </c>
      <c r="C33">
        <v>2</v>
      </c>
      <c r="E33" t="s">
        <v>1058</v>
      </c>
      <c r="F33">
        <v>2020</v>
      </c>
      <c r="G33" t="s">
        <v>57</v>
      </c>
      <c r="I33" t="s">
        <v>1059</v>
      </c>
      <c r="J33" t="s">
        <v>1060</v>
      </c>
      <c r="K33" t="s">
        <v>1064</v>
      </c>
      <c r="N33" s="7" t="s">
        <v>1067</v>
      </c>
      <c r="O33" t="s">
        <v>1068</v>
      </c>
      <c r="V33">
        <v>50</v>
      </c>
      <c r="Y33" s="15">
        <v>1.2318152800000002</v>
      </c>
      <c r="Z33" s="15">
        <v>0.32137453999999999</v>
      </c>
      <c r="AA33">
        <f t="shared" si="1"/>
        <v>5.6949257940119997</v>
      </c>
    </row>
    <row r="34" spans="1:27" ht="15.75" customHeight="1">
      <c r="A34" t="s">
        <v>148</v>
      </c>
      <c r="B34" t="s">
        <v>1066</v>
      </c>
      <c r="C34">
        <v>2</v>
      </c>
      <c r="E34" t="s">
        <v>1058</v>
      </c>
      <c r="F34">
        <v>2020</v>
      </c>
      <c r="G34" t="s">
        <v>57</v>
      </c>
      <c r="I34" t="s">
        <v>1059</v>
      </c>
      <c r="J34" t="s">
        <v>1060</v>
      </c>
      <c r="K34" t="s">
        <v>1061</v>
      </c>
      <c r="N34" s="7" t="s">
        <v>1067</v>
      </c>
      <c r="O34" t="s">
        <v>1068</v>
      </c>
      <c r="V34">
        <v>10</v>
      </c>
      <c r="Y34" s="15">
        <v>0.10263649999999999</v>
      </c>
      <c r="Z34" s="15">
        <v>0.1524268</v>
      </c>
      <c r="AA34">
        <f t="shared" si="1"/>
        <v>0.93521509577999995</v>
      </c>
    </row>
    <row r="35" spans="1:27" ht="15.75" customHeight="1">
      <c r="A35" t="s">
        <v>148</v>
      </c>
      <c r="B35" t="s">
        <v>1066</v>
      </c>
      <c r="C35">
        <v>2</v>
      </c>
      <c r="E35" t="s">
        <v>1058</v>
      </c>
      <c r="F35">
        <v>2020</v>
      </c>
      <c r="G35" t="s">
        <v>57</v>
      </c>
      <c r="I35" t="s">
        <v>1059</v>
      </c>
      <c r="J35" t="s">
        <v>1060</v>
      </c>
      <c r="K35" t="s">
        <v>1063</v>
      </c>
      <c r="N35" s="7" t="s">
        <v>1067</v>
      </c>
      <c r="O35" t="s">
        <v>1068</v>
      </c>
      <c r="V35">
        <v>10</v>
      </c>
      <c r="Y35" s="15">
        <v>0.13483650000000003</v>
      </c>
      <c r="Z35" s="15">
        <v>0.1210653</v>
      </c>
      <c r="AA35">
        <f t="shared" si="1"/>
        <v>0.93828953987999997</v>
      </c>
    </row>
    <row r="36" spans="1:27" ht="15.75" customHeight="1">
      <c r="A36" t="s">
        <v>148</v>
      </c>
      <c r="B36" t="s">
        <v>1066</v>
      </c>
      <c r="C36">
        <v>2</v>
      </c>
      <c r="E36" t="s">
        <v>1058</v>
      </c>
      <c r="F36">
        <v>2020</v>
      </c>
      <c r="G36" t="s">
        <v>57</v>
      </c>
      <c r="I36" t="s">
        <v>1059</v>
      </c>
      <c r="J36" t="s">
        <v>1060</v>
      </c>
      <c r="K36" t="s">
        <v>1064</v>
      </c>
      <c r="N36" s="7" t="s">
        <v>1067</v>
      </c>
      <c r="O36" t="s">
        <v>1068</v>
      </c>
      <c r="V36">
        <v>10</v>
      </c>
      <c r="Y36" s="15">
        <v>0.13963949999999997</v>
      </c>
      <c r="Z36" s="15">
        <v>0.101481</v>
      </c>
      <c r="AA36">
        <f t="shared" si="1"/>
        <v>0.88409242529999987</v>
      </c>
    </row>
    <row r="37" spans="1:27" ht="15.75" customHeight="1">
      <c r="A37" t="s">
        <v>148</v>
      </c>
      <c r="B37" t="s">
        <v>1066</v>
      </c>
      <c r="C37">
        <v>2</v>
      </c>
      <c r="E37" t="s">
        <v>1058</v>
      </c>
      <c r="F37">
        <v>2020</v>
      </c>
      <c r="G37" t="s">
        <v>57</v>
      </c>
      <c r="I37" t="s">
        <v>1059</v>
      </c>
      <c r="J37" t="s">
        <v>1060</v>
      </c>
      <c r="K37" t="s">
        <v>1061</v>
      </c>
      <c r="N37" s="7" t="s">
        <v>1067</v>
      </c>
      <c r="O37" t="s">
        <v>1068</v>
      </c>
      <c r="V37">
        <v>50</v>
      </c>
      <c r="Y37" s="15">
        <v>1.64212728</v>
      </c>
      <c r="Z37" s="15">
        <v>0.35894554000000001</v>
      </c>
      <c r="AA37">
        <f t="shared" si="1"/>
        <v>7.3371336018119999</v>
      </c>
    </row>
    <row r="38" spans="1:27" ht="15.75" customHeight="1">
      <c r="A38" t="s">
        <v>148</v>
      </c>
      <c r="B38" t="s">
        <v>1066</v>
      </c>
      <c r="C38">
        <v>2</v>
      </c>
      <c r="E38" t="s">
        <v>1058</v>
      </c>
      <c r="F38">
        <v>2020</v>
      </c>
      <c r="G38" t="s">
        <v>57</v>
      </c>
      <c r="I38" t="s">
        <v>1059</v>
      </c>
      <c r="J38" t="s">
        <v>1060</v>
      </c>
      <c r="K38" t="s">
        <v>1063</v>
      </c>
      <c r="N38" s="7" t="s">
        <v>1067</v>
      </c>
      <c r="O38" t="s">
        <v>1068</v>
      </c>
      <c r="V38">
        <v>50</v>
      </c>
      <c r="Y38" s="15">
        <v>1.4221072800000001</v>
      </c>
      <c r="Z38" s="15">
        <v>0.16611633999999997</v>
      </c>
      <c r="AA38">
        <f t="shared" si="1"/>
        <v>5.823380725092</v>
      </c>
    </row>
    <row r="39" spans="1:27" ht="15.75" customHeight="1">
      <c r="A39" t="s">
        <v>148</v>
      </c>
      <c r="B39" t="s">
        <v>1066</v>
      </c>
      <c r="C39">
        <v>2</v>
      </c>
      <c r="E39" t="s">
        <v>1058</v>
      </c>
      <c r="F39">
        <v>2020</v>
      </c>
      <c r="G39" t="s">
        <v>57</v>
      </c>
      <c r="I39" t="s">
        <v>1059</v>
      </c>
      <c r="J39" t="s">
        <v>1060</v>
      </c>
      <c r="K39" t="s">
        <v>1064</v>
      </c>
      <c r="N39" s="7" t="s">
        <v>1067</v>
      </c>
      <c r="O39" t="s">
        <v>1068</v>
      </c>
      <c r="V39">
        <v>50</v>
      </c>
      <c r="Y39" s="15">
        <v>1.4313078999999997</v>
      </c>
      <c r="Z39" s="15">
        <v>0.13384600000000002</v>
      </c>
      <c r="AA39">
        <f t="shared" si="1"/>
        <v>5.7387932897399994</v>
      </c>
    </row>
    <row r="40" spans="1:27" ht="15.75" customHeight="1">
      <c r="A40" t="s">
        <v>148</v>
      </c>
      <c r="B40" t="s">
        <v>148</v>
      </c>
      <c r="C40">
        <v>3</v>
      </c>
      <c r="E40" t="s">
        <v>1069</v>
      </c>
      <c r="F40">
        <v>2022</v>
      </c>
      <c r="G40" t="s">
        <v>1070</v>
      </c>
      <c r="I40" t="s">
        <v>1071</v>
      </c>
      <c r="J40" t="s">
        <v>1072</v>
      </c>
      <c r="N40" s="7" t="s">
        <v>1067</v>
      </c>
      <c r="O40" t="s">
        <v>1068</v>
      </c>
      <c r="V40">
        <v>15</v>
      </c>
      <c r="Y40" s="15">
        <v>1.7</v>
      </c>
      <c r="Z40" s="15">
        <v>-0.6</v>
      </c>
      <c r="AA40">
        <f t="shared" si="1"/>
        <v>4.0332600000000003</v>
      </c>
    </row>
    <row r="41" spans="1:27" ht="15.75" customHeight="1">
      <c r="A41" t="s">
        <v>148</v>
      </c>
      <c r="B41" t="s">
        <v>148</v>
      </c>
      <c r="C41">
        <v>3</v>
      </c>
      <c r="E41" t="s">
        <v>1069</v>
      </c>
      <c r="F41">
        <v>2022</v>
      </c>
      <c r="G41" t="s">
        <v>1070</v>
      </c>
      <c r="I41" t="s">
        <v>1071</v>
      </c>
      <c r="J41" t="s">
        <v>1072</v>
      </c>
      <c r="N41" s="7" t="s">
        <v>332</v>
      </c>
      <c r="O41" t="s">
        <v>1073</v>
      </c>
      <c r="V41">
        <v>15</v>
      </c>
      <c r="Y41" s="15">
        <v>2.5</v>
      </c>
      <c r="Z41" s="15">
        <v>0.1</v>
      </c>
      <c r="AA41">
        <f t="shared" si="1"/>
        <v>9.5331600000000005</v>
      </c>
    </row>
    <row r="42" spans="1:27" ht="15.75" customHeight="1">
      <c r="A42" t="s">
        <v>148</v>
      </c>
      <c r="B42" t="s">
        <v>148</v>
      </c>
      <c r="C42">
        <v>3</v>
      </c>
      <c r="E42" t="s">
        <v>1069</v>
      </c>
      <c r="F42">
        <v>2022</v>
      </c>
      <c r="G42" t="s">
        <v>1070</v>
      </c>
      <c r="I42" t="s">
        <v>1071</v>
      </c>
      <c r="J42" t="s">
        <v>1072</v>
      </c>
      <c r="N42" s="7" t="s">
        <v>332</v>
      </c>
      <c r="O42" t="s">
        <v>1062</v>
      </c>
      <c r="V42">
        <v>15</v>
      </c>
      <c r="Y42" s="15">
        <v>1</v>
      </c>
      <c r="Z42" s="15">
        <v>-0.55000000000000004</v>
      </c>
      <c r="AA42">
        <f t="shared" si="1"/>
        <v>1.6499699999999997</v>
      </c>
    </row>
    <row r="43" spans="1:27" ht="15.75" customHeight="1">
      <c r="A43" t="s">
        <v>148</v>
      </c>
      <c r="B43" t="s">
        <v>148</v>
      </c>
      <c r="C43">
        <v>4</v>
      </c>
      <c r="E43" t="s">
        <v>1074</v>
      </c>
      <c r="F43">
        <v>2021</v>
      </c>
      <c r="G43" t="s">
        <v>1075</v>
      </c>
      <c r="I43" t="s">
        <v>1076</v>
      </c>
      <c r="J43" t="s">
        <v>1077</v>
      </c>
      <c r="K43" t="s">
        <v>1078</v>
      </c>
      <c r="L43" t="s">
        <v>1079</v>
      </c>
      <c r="M43" t="s">
        <v>1080</v>
      </c>
      <c r="N43" s="7" t="s">
        <v>332</v>
      </c>
      <c r="O43" t="s">
        <v>1062</v>
      </c>
      <c r="V43">
        <v>50</v>
      </c>
      <c r="X43">
        <v>7.15</v>
      </c>
      <c r="Y43" s="15"/>
      <c r="Z43" s="15">
        <v>0</v>
      </c>
    </row>
    <row r="44" spans="1:27" ht="15.75" customHeight="1">
      <c r="A44" t="s">
        <v>148</v>
      </c>
      <c r="B44" t="s">
        <v>148</v>
      </c>
      <c r="C44">
        <v>5</v>
      </c>
      <c r="E44" t="s">
        <v>1081</v>
      </c>
      <c r="F44">
        <v>2017</v>
      </c>
      <c r="G44" t="s">
        <v>407</v>
      </c>
      <c r="I44" t="s">
        <v>1071</v>
      </c>
      <c r="J44" t="s">
        <v>611</v>
      </c>
      <c r="K44" s="24" t="s">
        <v>1082</v>
      </c>
      <c r="L44" t="s">
        <v>1083</v>
      </c>
      <c r="M44" s="25" t="s">
        <v>1084</v>
      </c>
      <c r="N44" t="s">
        <v>1085</v>
      </c>
      <c r="O44" t="s">
        <v>617</v>
      </c>
      <c r="V44">
        <v>200</v>
      </c>
      <c r="Z44" s="23" t="s">
        <v>1086</v>
      </c>
    </row>
    <row r="45" spans="1:27" ht="15.75" customHeight="1">
      <c r="A45" t="s">
        <v>148</v>
      </c>
      <c r="B45" t="s">
        <v>148</v>
      </c>
      <c r="C45">
        <v>5</v>
      </c>
      <c r="E45" t="s">
        <v>1081</v>
      </c>
      <c r="F45">
        <v>2017</v>
      </c>
      <c r="G45" t="s">
        <v>407</v>
      </c>
      <c r="I45" t="s">
        <v>1071</v>
      </c>
      <c r="J45" t="s">
        <v>611</v>
      </c>
      <c r="K45" s="24" t="s">
        <v>1082</v>
      </c>
      <c r="L45" t="s">
        <v>1083</v>
      </c>
      <c r="M45" s="25" t="s">
        <v>1084</v>
      </c>
      <c r="N45" s="7" t="s">
        <v>332</v>
      </c>
      <c r="O45" t="s">
        <v>1062</v>
      </c>
      <c r="V45">
        <v>30</v>
      </c>
      <c r="Z45" s="23" t="s">
        <v>1087</v>
      </c>
    </row>
    <row r="46" spans="1:27" ht="15.75" customHeight="1">
      <c r="A46" t="s">
        <v>148</v>
      </c>
      <c r="B46" t="s">
        <v>148</v>
      </c>
      <c r="C46">
        <v>5</v>
      </c>
      <c r="E46" t="s">
        <v>1081</v>
      </c>
      <c r="F46">
        <v>2017</v>
      </c>
      <c r="G46" t="s">
        <v>407</v>
      </c>
      <c r="I46" t="s">
        <v>1071</v>
      </c>
      <c r="J46" t="s">
        <v>611</v>
      </c>
      <c r="K46" s="24" t="s">
        <v>1082</v>
      </c>
      <c r="L46" t="s">
        <v>1083</v>
      </c>
      <c r="M46" s="25" t="s">
        <v>1084</v>
      </c>
      <c r="N46" t="s">
        <v>1085</v>
      </c>
      <c r="O46" t="s">
        <v>617</v>
      </c>
      <c r="V46">
        <v>30</v>
      </c>
      <c r="Z46" s="23" t="s">
        <v>1088</v>
      </c>
    </row>
    <row r="47" spans="1:27" s="28" customFormat="1" ht="15.75" customHeight="1">
      <c r="A47" s="28" t="s">
        <v>148</v>
      </c>
      <c r="B47" s="28" t="s">
        <v>608</v>
      </c>
      <c r="C47" s="28">
        <v>6</v>
      </c>
      <c r="D47" s="28" t="s">
        <v>1089</v>
      </c>
      <c r="E47" s="28" t="s">
        <v>1090</v>
      </c>
      <c r="F47" s="28">
        <v>2014</v>
      </c>
      <c r="G47" s="28" t="s">
        <v>1091</v>
      </c>
      <c r="I47" s="28" t="s">
        <v>1092</v>
      </c>
      <c r="J47" s="28" t="s">
        <v>1093</v>
      </c>
      <c r="S47" s="30"/>
      <c r="T47" s="30"/>
      <c r="V47" s="28" t="s">
        <v>1094</v>
      </c>
      <c r="Z47" s="52">
        <v>1.0999999999999999E-2</v>
      </c>
    </row>
    <row r="48" spans="1:27" s="28" customFormat="1" ht="15.75" customHeight="1">
      <c r="A48" s="28" t="s">
        <v>148</v>
      </c>
      <c r="B48" s="28" t="s">
        <v>589</v>
      </c>
      <c r="C48" s="28">
        <v>6</v>
      </c>
      <c r="D48" s="28" t="s">
        <v>1089</v>
      </c>
      <c r="E48" s="28" t="s">
        <v>1090</v>
      </c>
      <c r="F48" s="28">
        <v>2014</v>
      </c>
      <c r="G48" s="28" t="s">
        <v>1091</v>
      </c>
      <c r="I48" s="28" t="s">
        <v>1092</v>
      </c>
      <c r="J48" s="28" t="s">
        <v>1093</v>
      </c>
      <c r="S48" s="30"/>
      <c r="T48" s="30"/>
      <c r="V48" s="28" t="s">
        <v>1094</v>
      </c>
      <c r="Z48" s="28">
        <v>-0.2</v>
      </c>
    </row>
    <row r="49" spans="1:27" s="28" customFormat="1" ht="15.75" customHeight="1">
      <c r="A49" s="28" t="s">
        <v>148</v>
      </c>
      <c r="B49" s="28" t="s">
        <v>1095</v>
      </c>
      <c r="C49" s="28">
        <v>6</v>
      </c>
      <c r="D49" s="28" t="s">
        <v>1089</v>
      </c>
      <c r="E49" s="28" t="s">
        <v>1090</v>
      </c>
      <c r="F49" s="28">
        <v>2014</v>
      </c>
      <c r="G49" s="28" t="s">
        <v>1091</v>
      </c>
      <c r="I49" s="28" t="s">
        <v>1092</v>
      </c>
      <c r="J49" s="28" t="s">
        <v>1093</v>
      </c>
      <c r="S49" s="30"/>
      <c r="T49" s="30"/>
      <c r="V49" s="28" t="s">
        <v>1094</v>
      </c>
      <c r="Z49" s="52">
        <v>8.0000000000000002E-3</v>
      </c>
    </row>
    <row r="50" spans="1:27" s="28" customFormat="1" ht="15.75" customHeight="1">
      <c r="A50" s="28" t="s">
        <v>148</v>
      </c>
      <c r="B50" s="28" t="s">
        <v>148</v>
      </c>
      <c r="C50" s="28">
        <v>7</v>
      </c>
      <c r="D50" s="28" t="s">
        <v>1089</v>
      </c>
      <c r="E50" s="28" t="s">
        <v>1096</v>
      </c>
      <c r="F50" s="28">
        <v>2023</v>
      </c>
      <c r="G50" s="28" t="s">
        <v>1097</v>
      </c>
      <c r="I50" s="28" t="s">
        <v>1098</v>
      </c>
      <c r="J50" s="28" t="s">
        <v>668</v>
      </c>
      <c r="S50" s="30"/>
      <c r="T50" s="30"/>
      <c r="V50" s="53" t="s">
        <v>1099</v>
      </c>
      <c r="Z50" s="52">
        <v>0.02</v>
      </c>
      <c r="AA50" s="28" t="s">
        <v>1100</v>
      </c>
    </row>
    <row r="51" spans="1:27" ht="15.75" customHeight="1">
      <c r="A51" t="s">
        <v>1101</v>
      </c>
      <c r="B51" t="s">
        <v>1101</v>
      </c>
      <c r="C51">
        <v>8</v>
      </c>
      <c r="E51" t="s">
        <v>1102</v>
      </c>
      <c r="F51">
        <v>2022</v>
      </c>
      <c r="G51" t="s">
        <v>1103</v>
      </c>
      <c r="I51" t="s">
        <v>1092</v>
      </c>
      <c r="J51" t="s">
        <v>1072</v>
      </c>
      <c r="L51" s="27" t="s">
        <v>1104</v>
      </c>
      <c r="M51" t="s">
        <v>1105</v>
      </c>
      <c r="N51" t="s">
        <v>332</v>
      </c>
      <c r="O51" t="s">
        <v>1106</v>
      </c>
      <c r="U51" t="s">
        <v>1107</v>
      </c>
      <c r="V51">
        <v>10</v>
      </c>
      <c r="Y51" t="s">
        <v>1108</v>
      </c>
    </row>
    <row r="52" spans="1:27" ht="15.75" customHeight="1">
      <c r="A52" t="s">
        <v>1101</v>
      </c>
      <c r="B52" t="s">
        <v>1101</v>
      </c>
      <c r="C52">
        <v>9</v>
      </c>
      <c r="E52" t="s">
        <v>1109</v>
      </c>
      <c r="F52">
        <v>2019</v>
      </c>
      <c r="G52" t="s">
        <v>1110</v>
      </c>
      <c r="I52" t="s">
        <v>1059</v>
      </c>
      <c r="J52" t="s">
        <v>1060</v>
      </c>
      <c r="N52" t="s">
        <v>332</v>
      </c>
      <c r="O52" t="s">
        <v>1111</v>
      </c>
      <c r="V52" t="s">
        <v>1112</v>
      </c>
      <c r="Y52">
        <v>1.3</v>
      </c>
      <c r="Z52">
        <v>-0.13</v>
      </c>
    </row>
    <row r="53" spans="1:27" ht="15.75" customHeight="1">
      <c r="A53" t="s">
        <v>1113</v>
      </c>
      <c r="B53" t="s">
        <v>1114</v>
      </c>
      <c r="C53">
        <v>10</v>
      </c>
      <c r="E53" t="s">
        <v>1115</v>
      </c>
      <c r="F53">
        <v>2021</v>
      </c>
      <c r="G53" t="s">
        <v>1116</v>
      </c>
      <c r="I53" t="s">
        <v>1076</v>
      </c>
      <c r="J53" t="s">
        <v>1013</v>
      </c>
      <c r="L53" t="s">
        <v>1117</v>
      </c>
      <c r="M53" t="s">
        <v>1118</v>
      </c>
      <c r="N53" t="s">
        <v>332</v>
      </c>
      <c r="O53" t="s">
        <v>1062</v>
      </c>
      <c r="V53">
        <v>10</v>
      </c>
      <c r="Y53">
        <f>50*0.75*0.5/10</f>
        <v>1.875</v>
      </c>
      <c r="Z53" t="s">
        <v>1119</v>
      </c>
    </row>
    <row r="54" spans="1:27" ht="15.75" customHeight="1">
      <c r="A54" t="s">
        <v>1113</v>
      </c>
      <c r="B54" t="s">
        <v>1114</v>
      </c>
      <c r="C54">
        <v>10</v>
      </c>
      <c r="E54" t="s">
        <v>1115</v>
      </c>
      <c r="F54">
        <v>2021</v>
      </c>
      <c r="G54" t="s">
        <v>1116</v>
      </c>
      <c r="I54" t="s">
        <v>1076</v>
      </c>
      <c r="J54" t="s">
        <v>1013</v>
      </c>
      <c r="L54" t="s">
        <v>1117</v>
      </c>
      <c r="M54" t="s">
        <v>1118</v>
      </c>
      <c r="N54" t="s">
        <v>332</v>
      </c>
      <c r="O54" t="s">
        <v>1062</v>
      </c>
      <c r="V54">
        <v>30</v>
      </c>
      <c r="Y54">
        <f>350*0.75*0.5/30</f>
        <v>4.375</v>
      </c>
      <c r="Z54" s="23" t="s">
        <v>1120</v>
      </c>
    </row>
    <row r="55" spans="1:27" ht="15.75" customHeight="1">
      <c r="A55" t="s">
        <v>1113</v>
      </c>
      <c r="B55" t="s">
        <v>1121</v>
      </c>
      <c r="C55">
        <v>11</v>
      </c>
      <c r="E55" t="s">
        <v>1122</v>
      </c>
      <c r="F55">
        <v>2015</v>
      </c>
      <c r="G55" t="s">
        <v>1123</v>
      </c>
      <c r="I55" t="s">
        <v>1059</v>
      </c>
      <c r="J55" t="s">
        <v>1060</v>
      </c>
      <c r="L55" t="s">
        <v>1124</v>
      </c>
      <c r="M55" t="s">
        <v>1125</v>
      </c>
      <c r="N55" t="s">
        <v>332</v>
      </c>
      <c r="O55" t="s">
        <v>1073</v>
      </c>
      <c r="V55">
        <v>26</v>
      </c>
      <c r="Y55">
        <f>(148-93)/26*0.75*0.5</f>
        <v>0.79326923076923084</v>
      </c>
    </row>
    <row r="56" spans="1:27" ht="15.75" customHeight="1">
      <c r="A56" t="s">
        <v>1113</v>
      </c>
      <c r="B56" t="s">
        <v>1126</v>
      </c>
      <c r="C56">
        <v>11</v>
      </c>
      <c r="E56" t="s">
        <v>1122</v>
      </c>
      <c r="F56">
        <v>2015</v>
      </c>
      <c r="G56" t="s">
        <v>1123</v>
      </c>
      <c r="I56" t="s">
        <v>1059</v>
      </c>
      <c r="J56" t="s">
        <v>1060</v>
      </c>
      <c r="L56" t="s">
        <v>1124</v>
      </c>
      <c r="M56" t="s">
        <v>1125</v>
      </c>
      <c r="N56" t="s">
        <v>332</v>
      </c>
      <c r="O56" t="s">
        <v>1073</v>
      </c>
      <c r="V56">
        <v>26</v>
      </c>
      <c r="Y56">
        <f>(143-93)/26*0.75*0.5</f>
        <v>0.72115384615384615</v>
      </c>
    </row>
    <row r="57" spans="1:27" ht="15.75" customHeight="1">
      <c r="A57" t="s">
        <v>1113</v>
      </c>
      <c r="B57" t="s">
        <v>1127</v>
      </c>
      <c r="C57">
        <v>11</v>
      </c>
      <c r="E57" t="s">
        <v>1122</v>
      </c>
      <c r="F57">
        <v>2015</v>
      </c>
      <c r="G57" t="s">
        <v>1123</v>
      </c>
      <c r="I57" t="s">
        <v>1059</v>
      </c>
      <c r="J57" t="s">
        <v>1060</v>
      </c>
      <c r="L57" t="s">
        <v>1124</v>
      </c>
      <c r="M57" t="s">
        <v>1125</v>
      </c>
      <c r="N57" t="s">
        <v>332</v>
      </c>
      <c r="O57" t="s">
        <v>1073</v>
      </c>
      <c r="V57">
        <v>26</v>
      </c>
      <c r="Y57">
        <f>(151-93)/26*0.75*0.5</f>
        <v>0.83653846153846156</v>
      </c>
    </row>
    <row r="58" spans="1:27" ht="15.75" customHeight="1">
      <c r="A58" t="s">
        <v>1113</v>
      </c>
      <c r="B58" t="s">
        <v>1128</v>
      </c>
      <c r="C58">
        <v>11</v>
      </c>
      <c r="E58" t="s">
        <v>1122</v>
      </c>
      <c r="F58">
        <v>2015</v>
      </c>
      <c r="G58" t="s">
        <v>1123</v>
      </c>
      <c r="I58" t="s">
        <v>1059</v>
      </c>
      <c r="J58" t="s">
        <v>1060</v>
      </c>
      <c r="L58" t="s">
        <v>1124</v>
      </c>
      <c r="M58" t="s">
        <v>1125</v>
      </c>
      <c r="N58" t="s">
        <v>332</v>
      </c>
      <c r="O58" t="s">
        <v>1073</v>
      </c>
      <c r="V58">
        <v>26</v>
      </c>
      <c r="Y58">
        <f>(143-93)/26*0.75*0.5</f>
        <v>0.72115384615384615</v>
      </c>
    </row>
    <row r="59" spans="1:27" ht="15.75" customHeight="1">
      <c r="A59" t="s">
        <v>1101</v>
      </c>
      <c r="B59" t="s">
        <v>1101</v>
      </c>
      <c r="C59">
        <v>11</v>
      </c>
      <c r="E59" t="s">
        <v>1122</v>
      </c>
      <c r="F59">
        <v>2015</v>
      </c>
      <c r="G59" t="s">
        <v>1123</v>
      </c>
      <c r="I59" t="s">
        <v>1059</v>
      </c>
      <c r="J59" t="s">
        <v>1060</v>
      </c>
      <c r="L59" t="s">
        <v>1124</v>
      </c>
      <c r="M59" t="s">
        <v>1125</v>
      </c>
      <c r="N59" t="s">
        <v>332</v>
      </c>
      <c r="O59" t="s">
        <v>1073</v>
      </c>
      <c r="V59">
        <v>26</v>
      </c>
      <c r="Y59">
        <f>(187-93)/26*0.75*0.5</f>
        <v>1.3557692307692308</v>
      </c>
    </row>
    <row r="60" spans="1:27" ht="15.75" customHeight="1">
      <c r="A60" t="s">
        <v>1101</v>
      </c>
      <c r="B60" t="s">
        <v>1129</v>
      </c>
      <c r="C60">
        <v>11</v>
      </c>
      <c r="E60" t="s">
        <v>1122</v>
      </c>
      <c r="F60">
        <v>2015</v>
      </c>
      <c r="G60" t="s">
        <v>1123</v>
      </c>
      <c r="I60" t="s">
        <v>1059</v>
      </c>
      <c r="J60" t="s">
        <v>1060</v>
      </c>
      <c r="L60" t="s">
        <v>1124</v>
      </c>
      <c r="M60" t="s">
        <v>1125</v>
      </c>
      <c r="N60" t="s">
        <v>332</v>
      </c>
      <c r="O60" t="s">
        <v>1073</v>
      </c>
      <c r="V60">
        <v>26</v>
      </c>
      <c r="Y60">
        <f>(177-93)/26*0.75*0.5</f>
        <v>1.2115384615384617</v>
      </c>
    </row>
    <row r="61" spans="1:27" ht="15.75" customHeight="1">
      <c r="A61" t="s">
        <v>1101</v>
      </c>
      <c r="B61" t="s">
        <v>1130</v>
      </c>
      <c r="C61">
        <v>12</v>
      </c>
      <c r="E61" t="s">
        <v>1122</v>
      </c>
      <c r="F61">
        <v>2013</v>
      </c>
      <c r="G61" t="s">
        <v>57</v>
      </c>
      <c r="I61" t="s">
        <v>1059</v>
      </c>
      <c r="J61" t="s">
        <v>1060</v>
      </c>
      <c r="L61" t="s">
        <v>1131</v>
      </c>
      <c r="M61" t="s">
        <v>1132</v>
      </c>
      <c r="N61" t="s">
        <v>332</v>
      </c>
      <c r="O61" t="s">
        <v>1073</v>
      </c>
      <c r="V61">
        <v>13</v>
      </c>
      <c r="Y61">
        <f>2*0.75*0.5</f>
        <v>0.75</v>
      </c>
    </row>
    <row r="62" spans="1:27" ht="15.75" customHeight="1">
      <c r="A62" t="s">
        <v>1101</v>
      </c>
      <c r="B62" t="s">
        <v>1133</v>
      </c>
      <c r="C62">
        <v>12</v>
      </c>
      <c r="E62" t="s">
        <v>1122</v>
      </c>
      <c r="F62">
        <v>2013</v>
      </c>
      <c r="G62" t="s">
        <v>57</v>
      </c>
      <c r="I62" t="s">
        <v>1059</v>
      </c>
      <c r="J62" t="s">
        <v>1060</v>
      </c>
      <c r="L62" t="s">
        <v>1134</v>
      </c>
      <c r="M62" t="s">
        <v>1132</v>
      </c>
      <c r="N62" t="s">
        <v>332</v>
      </c>
      <c r="O62" t="s">
        <v>1073</v>
      </c>
      <c r="V62">
        <v>13</v>
      </c>
      <c r="Y62">
        <f>6*0.75*0.5</f>
        <v>2.25</v>
      </c>
    </row>
    <row r="63" spans="1:27" ht="15.75" customHeight="1">
      <c r="A63" t="s">
        <v>1113</v>
      </c>
      <c r="B63" t="s">
        <v>1135</v>
      </c>
      <c r="C63">
        <v>13</v>
      </c>
      <c r="E63" t="s">
        <v>1136</v>
      </c>
      <c r="F63">
        <v>2020</v>
      </c>
      <c r="G63" t="s">
        <v>1137</v>
      </c>
      <c r="I63" t="s">
        <v>1059</v>
      </c>
      <c r="J63" t="s">
        <v>1077</v>
      </c>
      <c r="L63" t="s">
        <v>1138</v>
      </c>
      <c r="M63" t="s">
        <v>1139</v>
      </c>
      <c r="N63" t="s">
        <v>332</v>
      </c>
      <c r="O63" t="s">
        <v>1062</v>
      </c>
      <c r="V63">
        <v>5</v>
      </c>
      <c r="Y63">
        <f>2*0.75*0.5</f>
        <v>0.75</v>
      </c>
    </row>
    <row r="64" spans="1:27" ht="15.75" customHeight="1">
      <c r="A64" t="s">
        <v>1101</v>
      </c>
      <c r="B64" t="s">
        <v>1101</v>
      </c>
      <c r="C64">
        <v>13</v>
      </c>
      <c r="E64" t="s">
        <v>1136</v>
      </c>
      <c r="F64">
        <v>2020</v>
      </c>
      <c r="G64" t="s">
        <v>1137</v>
      </c>
      <c r="I64" t="s">
        <v>1059</v>
      </c>
      <c r="J64" t="s">
        <v>1077</v>
      </c>
      <c r="L64" t="s">
        <v>1138</v>
      </c>
      <c r="M64" t="s">
        <v>1139</v>
      </c>
      <c r="N64" t="s">
        <v>332</v>
      </c>
      <c r="O64" t="s">
        <v>1062</v>
      </c>
      <c r="V64">
        <v>5</v>
      </c>
      <c r="Y64">
        <f>1.8*0.75*0.5</f>
        <v>0.67500000000000004</v>
      </c>
    </row>
    <row r="65" spans="1:28" ht="15.75" customHeight="1">
      <c r="A65" t="s">
        <v>1113</v>
      </c>
      <c r="B65" t="s">
        <v>1140</v>
      </c>
      <c r="C65">
        <v>13</v>
      </c>
      <c r="E65" t="s">
        <v>1136</v>
      </c>
      <c r="F65">
        <v>2020</v>
      </c>
      <c r="G65" t="s">
        <v>1137</v>
      </c>
      <c r="I65" t="s">
        <v>1059</v>
      </c>
      <c r="J65" t="s">
        <v>1077</v>
      </c>
      <c r="L65" t="s">
        <v>1138</v>
      </c>
      <c r="M65" t="s">
        <v>1139</v>
      </c>
      <c r="N65" t="s">
        <v>332</v>
      </c>
      <c r="O65" t="s">
        <v>1062</v>
      </c>
      <c r="V65">
        <v>5</v>
      </c>
      <c r="Y65">
        <f>4.3*0.75*0.5</f>
        <v>1.6124999999999998</v>
      </c>
    </row>
    <row r="66" spans="1:28" ht="15.75" customHeight="1">
      <c r="A66" t="s">
        <v>1101</v>
      </c>
      <c r="B66" t="s">
        <v>1141</v>
      </c>
      <c r="C66">
        <v>14</v>
      </c>
      <c r="E66" t="s">
        <v>1142</v>
      </c>
      <c r="F66">
        <v>2020</v>
      </c>
      <c r="G66" t="s">
        <v>1123</v>
      </c>
      <c r="I66" t="s">
        <v>1059</v>
      </c>
      <c r="J66" t="s">
        <v>1060</v>
      </c>
      <c r="L66" t="s">
        <v>1143</v>
      </c>
      <c r="M66" t="s">
        <v>1144</v>
      </c>
      <c r="N66" t="s">
        <v>332</v>
      </c>
      <c r="O66" t="s">
        <v>1073</v>
      </c>
      <c r="V66">
        <v>15</v>
      </c>
      <c r="Y66">
        <f>1.2*2.9*0.75*0.5</f>
        <v>1.3049999999999999</v>
      </c>
    </row>
    <row r="67" spans="1:28" ht="15.75" customHeight="1">
      <c r="A67" t="s">
        <v>1101</v>
      </c>
      <c r="B67" t="s">
        <v>1145</v>
      </c>
      <c r="C67">
        <v>14</v>
      </c>
      <c r="E67" t="s">
        <v>1142</v>
      </c>
      <c r="F67">
        <v>2020</v>
      </c>
      <c r="G67" t="s">
        <v>1123</v>
      </c>
      <c r="I67" t="s">
        <v>1059</v>
      </c>
      <c r="J67" t="s">
        <v>1060</v>
      </c>
      <c r="L67" t="s">
        <v>1146</v>
      </c>
      <c r="M67" t="s">
        <v>1147</v>
      </c>
      <c r="N67" t="s">
        <v>332</v>
      </c>
      <c r="O67" t="s">
        <v>1073</v>
      </c>
      <c r="V67">
        <v>15</v>
      </c>
      <c r="Y67">
        <f>0.75*2.9*0.75*0.5</f>
        <v>0.81562499999999993</v>
      </c>
    </row>
    <row r="68" spans="1:28" ht="15.75" customHeight="1">
      <c r="A68" t="s">
        <v>663</v>
      </c>
      <c r="B68" t="s">
        <v>1148</v>
      </c>
      <c r="C68">
        <v>15</v>
      </c>
      <c r="E68" t="s">
        <v>1149</v>
      </c>
      <c r="F68">
        <v>2023</v>
      </c>
      <c r="G68" t="s">
        <v>1150</v>
      </c>
      <c r="I68" t="s">
        <v>1076</v>
      </c>
      <c r="J68" t="s">
        <v>1013</v>
      </c>
      <c r="L68" t="s">
        <v>1151</v>
      </c>
      <c r="M68" t="s">
        <v>1152</v>
      </c>
      <c r="N68" t="s">
        <v>332</v>
      </c>
      <c r="O68" t="s">
        <v>1106</v>
      </c>
      <c r="V68">
        <v>3</v>
      </c>
      <c r="Z68" t="s">
        <v>1153</v>
      </c>
      <c r="AA68" t="s">
        <v>1154</v>
      </c>
    </row>
    <row r="69" spans="1:28" ht="15.75" customHeight="1">
      <c r="A69" t="s">
        <v>663</v>
      </c>
      <c r="B69" t="s">
        <v>1155</v>
      </c>
      <c r="C69">
        <v>15</v>
      </c>
      <c r="E69" t="s">
        <v>1149</v>
      </c>
      <c r="F69">
        <v>2023</v>
      </c>
      <c r="G69" t="s">
        <v>1150</v>
      </c>
      <c r="I69" t="s">
        <v>1076</v>
      </c>
      <c r="J69" t="s">
        <v>1013</v>
      </c>
      <c r="L69" t="s">
        <v>1151</v>
      </c>
      <c r="M69" t="s">
        <v>1152</v>
      </c>
      <c r="N69" t="s">
        <v>332</v>
      </c>
      <c r="O69" t="s">
        <v>1106</v>
      </c>
      <c r="V69">
        <v>3</v>
      </c>
      <c r="Z69" t="s">
        <v>1156</v>
      </c>
      <c r="AA69" t="s">
        <v>1154</v>
      </c>
    </row>
    <row r="70" spans="1:28" ht="15.75" customHeight="1">
      <c r="A70" t="s">
        <v>663</v>
      </c>
      <c r="B70" t="s">
        <v>1157</v>
      </c>
      <c r="C70">
        <v>16</v>
      </c>
      <c r="E70" t="s">
        <v>1158</v>
      </c>
      <c r="F70">
        <v>2022</v>
      </c>
      <c r="G70" t="s">
        <v>407</v>
      </c>
      <c r="I70" t="s">
        <v>1076</v>
      </c>
      <c r="J70" t="s">
        <v>1013</v>
      </c>
      <c r="L70" t="s">
        <v>1159</v>
      </c>
      <c r="M70" t="s">
        <v>1160</v>
      </c>
      <c r="N70" t="s">
        <v>332</v>
      </c>
      <c r="O70" t="s">
        <v>1161</v>
      </c>
      <c r="V70">
        <v>5</v>
      </c>
      <c r="Z70">
        <v>-49.4</v>
      </c>
    </row>
    <row r="71" spans="1:28" ht="15.75" customHeight="1">
      <c r="A71" t="s">
        <v>663</v>
      </c>
      <c r="B71" t="s">
        <v>1157</v>
      </c>
      <c r="C71">
        <v>16</v>
      </c>
      <c r="E71" t="s">
        <v>1158</v>
      </c>
      <c r="F71">
        <v>2022</v>
      </c>
      <c r="G71" t="s">
        <v>407</v>
      </c>
      <c r="I71" t="s">
        <v>1076</v>
      </c>
      <c r="J71" t="s">
        <v>1013</v>
      </c>
      <c r="L71" t="s">
        <v>1159</v>
      </c>
      <c r="M71" t="s">
        <v>1160</v>
      </c>
      <c r="N71" t="s">
        <v>332</v>
      </c>
      <c r="O71" t="s">
        <v>1161</v>
      </c>
      <c r="V71">
        <v>5</v>
      </c>
      <c r="Z71">
        <v>-27.8</v>
      </c>
    </row>
    <row r="72" spans="1:28" s="28" customFormat="1" ht="15.75" customHeight="1">
      <c r="A72" s="28" t="s">
        <v>663</v>
      </c>
      <c r="B72" s="28" t="s">
        <v>1148</v>
      </c>
      <c r="C72" s="28">
        <v>17</v>
      </c>
      <c r="D72" s="28" t="s">
        <v>1089</v>
      </c>
      <c r="E72" s="28" t="s">
        <v>1162</v>
      </c>
      <c r="F72" s="28">
        <v>2023</v>
      </c>
      <c r="G72" s="28" t="s">
        <v>627</v>
      </c>
      <c r="I72" s="28" t="s">
        <v>668</v>
      </c>
      <c r="N72" s="28" t="s">
        <v>1163</v>
      </c>
      <c r="O72" s="28" t="s">
        <v>1163</v>
      </c>
      <c r="S72" s="30"/>
      <c r="T72" s="30"/>
      <c r="V72" s="28" t="s">
        <v>1164</v>
      </c>
      <c r="Z72" s="28">
        <v>0.92800000000000005</v>
      </c>
    </row>
    <row r="73" spans="1:28" ht="15.75" customHeight="1">
      <c r="A73" t="s">
        <v>663</v>
      </c>
      <c r="B73" t="s">
        <v>1165</v>
      </c>
      <c r="C73">
        <v>18</v>
      </c>
      <c r="E73" t="s">
        <v>1166</v>
      </c>
      <c r="F73">
        <v>2023</v>
      </c>
      <c r="G73" t="s">
        <v>1097</v>
      </c>
      <c r="I73" t="s">
        <v>1059</v>
      </c>
      <c r="J73" t="s">
        <v>1060</v>
      </c>
      <c r="L73" t="s">
        <v>1167</v>
      </c>
      <c r="M73" t="s">
        <v>1167</v>
      </c>
      <c r="N73" t="s">
        <v>332</v>
      </c>
      <c r="O73" t="s">
        <v>1062</v>
      </c>
      <c r="V73">
        <v>5</v>
      </c>
      <c r="Z73">
        <v>0</v>
      </c>
      <c r="AA73" t="s">
        <v>1168</v>
      </c>
    </row>
    <row r="74" spans="1:28" ht="15.75" customHeight="1">
      <c r="A74" t="s">
        <v>663</v>
      </c>
      <c r="B74" t="s">
        <v>1169</v>
      </c>
      <c r="C74">
        <v>19</v>
      </c>
      <c r="E74" t="s">
        <v>1170</v>
      </c>
      <c r="F74">
        <v>2023</v>
      </c>
      <c r="G74" t="s">
        <v>1171</v>
      </c>
      <c r="I74" t="s">
        <v>1059</v>
      </c>
      <c r="J74" t="s">
        <v>1060</v>
      </c>
      <c r="N74" t="s">
        <v>332</v>
      </c>
      <c r="O74" t="s">
        <v>1062</v>
      </c>
      <c r="Z74" s="15">
        <f>18*10000/1000/1000/3.6666*28</f>
        <v>1.3745704467353952</v>
      </c>
      <c r="AA74" t="s">
        <v>1172</v>
      </c>
      <c r="AB74" t="s">
        <v>1173</v>
      </c>
    </row>
    <row r="75" spans="1:28" ht="15.75" customHeight="1">
      <c r="A75" t="s">
        <v>663</v>
      </c>
      <c r="B75" t="s">
        <v>1174</v>
      </c>
      <c r="C75">
        <v>20</v>
      </c>
      <c r="E75" t="s">
        <v>1175</v>
      </c>
      <c r="F75">
        <v>2022</v>
      </c>
      <c r="G75" t="s">
        <v>387</v>
      </c>
      <c r="I75" t="s">
        <v>1176</v>
      </c>
      <c r="J75" t="s">
        <v>1072</v>
      </c>
      <c r="N75" t="s">
        <v>332</v>
      </c>
      <c r="O75" t="s">
        <v>1177</v>
      </c>
      <c r="Z75">
        <v>1</v>
      </c>
      <c r="AA75" t="s">
        <v>1178</v>
      </c>
    </row>
    <row r="76" spans="1:28" ht="15.75" customHeight="1">
      <c r="A76" t="s">
        <v>663</v>
      </c>
      <c r="B76" t="s">
        <v>1179</v>
      </c>
      <c r="C76">
        <v>20</v>
      </c>
      <c r="E76" t="s">
        <v>1175</v>
      </c>
      <c r="F76">
        <v>2022</v>
      </c>
      <c r="G76" t="s">
        <v>387</v>
      </c>
      <c r="I76" t="s">
        <v>1176</v>
      </c>
      <c r="J76" t="s">
        <v>1072</v>
      </c>
      <c r="N76" t="s">
        <v>332</v>
      </c>
      <c r="O76" t="s">
        <v>1177</v>
      </c>
      <c r="Z76">
        <v>0.8</v>
      </c>
      <c r="AA76" t="s">
        <v>1178</v>
      </c>
    </row>
    <row r="77" spans="1:28" ht="15.75" customHeight="1">
      <c r="A77" t="s">
        <v>663</v>
      </c>
      <c r="B77" t="s">
        <v>1180</v>
      </c>
      <c r="C77">
        <v>21</v>
      </c>
      <c r="E77" t="s">
        <v>1181</v>
      </c>
      <c r="F77">
        <v>2023</v>
      </c>
      <c r="G77" s="51" t="s">
        <v>1182</v>
      </c>
      <c r="I77" t="s">
        <v>1059</v>
      </c>
      <c r="J77" t="s">
        <v>1060</v>
      </c>
      <c r="L77" s="51" t="s">
        <v>1183</v>
      </c>
      <c r="M77" t="s">
        <v>1184</v>
      </c>
      <c r="N77" t="s">
        <v>332</v>
      </c>
      <c r="O77" t="s">
        <v>1062</v>
      </c>
      <c r="V77">
        <v>1</v>
      </c>
      <c r="Z77">
        <v>-31</v>
      </c>
    </row>
    <row r="78" spans="1:28" ht="15.75" customHeight="1">
      <c r="A78" t="s">
        <v>663</v>
      </c>
      <c r="B78" t="s">
        <v>1185</v>
      </c>
      <c r="C78">
        <v>21</v>
      </c>
      <c r="E78" t="s">
        <v>1181</v>
      </c>
      <c r="F78">
        <v>2023</v>
      </c>
      <c r="G78" s="51" t="s">
        <v>1182</v>
      </c>
      <c r="I78" t="s">
        <v>1059</v>
      </c>
      <c r="J78" t="s">
        <v>1060</v>
      </c>
      <c r="L78" s="51" t="s">
        <v>1183</v>
      </c>
      <c r="M78" t="s">
        <v>1184</v>
      </c>
      <c r="N78" t="s">
        <v>332</v>
      </c>
      <c r="O78" t="s">
        <v>1062</v>
      </c>
      <c r="V78">
        <v>2</v>
      </c>
      <c r="Z78">
        <v>-22.2</v>
      </c>
    </row>
    <row r="79" spans="1:28" ht="15.75" customHeight="1">
      <c r="A79" t="s">
        <v>663</v>
      </c>
      <c r="B79" t="s">
        <v>1186</v>
      </c>
      <c r="C79">
        <v>21</v>
      </c>
      <c r="E79" t="s">
        <v>1181</v>
      </c>
      <c r="F79">
        <v>2023</v>
      </c>
      <c r="G79" s="51" t="s">
        <v>1182</v>
      </c>
      <c r="I79" t="s">
        <v>1059</v>
      </c>
      <c r="J79" t="s">
        <v>1060</v>
      </c>
      <c r="L79" s="51" t="s">
        <v>1183</v>
      </c>
      <c r="M79" t="s">
        <v>1184</v>
      </c>
      <c r="N79" t="s">
        <v>332</v>
      </c>
      <c r="O79" t="s">
        <v>1062</v>
      </c>
      <c r="V79">
        <v>3</v>
      </c>
      <c r="Z79">
        <v>-22.7</v>
      </c>
    </row>
    <row r="80" spans="1:28" ht="15.75" customHeight="1">
      <c r="A80" t="s">
        <v>663</v>
      </c>
      <c r="B80" t="s">
        <v>1187</v>
      </c>
      <c r="C80">
        <v>21</v>
      </c>
      <c r="E80" t="s">
        <v>1181</v>
      </c>
      <c r="F80">
        <v>2023</v>
      </c>
      <c r="G80" s="51" t="s">
        <v>1182</v>
      </c>
      <c r="I80" t="s">
        <v>1059</v>
      </c>
      <c r="J80" t="s">
        <v>1060</v>
      </c>
      <c r="L80" s="51" t="s">
        <v>1183</v>
      </c>
      <c r="M80" t="s">
        <v>1184</v>
      </c>
      <c r="N80" t="s">
        <v>332</v>
      </c>
      <c r="O80" t="s">
        <v>1062</v>
      </c>
      <c r="V80">
        <v>4</v>
      </c>
      <c r="Z80">
        <v>-19</v>
      </c>
    </row>
    <row r="81" spans="1:27" ht="15.75" customHeight="1">
      <c r="A81" t="s">
        <v>663</v>
      </c>
      <c r="B81" t="s">
        <v>1188</v>
      </c>
      <c r="C81">
        <v>21</v>
      </c>
      <c r="E81" t="s">
        <v>1181</v>
      </c>
      <c r="F81">
        <v>2023</v>
      </c>
      <c r="G81" s="51" t="s">
        <v>1182</v>
      </c>
      <c r="I81" t="s">
        <v>1059</v>
      </c>
      <c r="J81" t="s">
        <v>1060</v>
      </c>
      <c r="L81" s="51" t="s">
        <v>1183</v>
      </c>
      <c r="M81" t="s">
        <v>1184</v>
      </c>
      <c r="N81" t="s">
        <v>332</v>
      </c>
      <c r="O81" t="s">
        <v>1062</v>
      </c>
      <c r="V81">
        <v>5</v>
      </c>
      <c r="Z81">
        <v>-13.5</v>
      </c>
    </row>
    <row r="82" spans="1:27" ht="15.75" customHeight="1">
      <c r="A82" t="s">
        <v>663</v>
      </c>
      <c r="B82" t="s">
        <v>1189</v>
      </c>
      <c r="C82">
        <v>21</v>
      </c>
      <c r="E82" t="s">
        <v>1181</v>
      </c>
      <c r="F82">
        <v>2023</v>
      </c>
      <c r="G82" s="51" t="s">
        <v>1182</v>
      </c>
      <c r="I82" t="s">
        <v>1059</v>
      </c>
      <c r="J82" t="s">
        <v>1060</v>
      </c>
      <c r="L82" s="51" t="s">
        <v>1183</v>
      </c>
      <c r="M82" t="s">
        <v>1184</v>
      </c>
      <c r="N82" t="s">
        <v>332</v>
      </c>
      <c r="O82" t="s">
        <v>1062</v>
      </c>
      <c r="V82">
        <v>6</v>
      </c>
      <c r="Z82">
        <v>-8.1999999999999993</v>
      </c>
    </row>
    <row r="83" spans="1:27" ht="15.75" customHeight="1">
      <c r="A83" t="s">
        <v>663</v>
      </c>
      <c r="B83" t="s">
        <v>1165</v>
      </c>
      <c r="C83">
        <v>22</v>
      </c>
      <c r="E83" t="s">
        <v>1190</v>
      </c>
      <c r="F83">
        <v>2023</v>
      </c>
      <c r="G83" s="51" t="s">
        <v>1150</v>
      </c>
      <c r="I83" t="s">
        <v>1076</v>
      </c>
      <c r="J83" t="s">
        <v>1060</v>
      </c>
      <c r="N83" t="s">
        <v>332</v>
      </c>
      <c r="O83" t="s">
        <v>1062</v>
      </c>
      <c r="V83">
        <v>15</v>
      </c>
      <c r="Y83">
        <v>0.04</v>
      </c>
      <c r="Z83">
        <v>3.3000000000000002E-2</v>
      </c>
    </row>
    <row r="84" spans="1:27" ht="15.75" customHeight="1">
      <c r="A84" t="s">
        <v>148</v>
      </c>
      <c r="B84" t="s">
        <v>1191</v>
      </c>
      <c r="C84">
        <v>23</v>
      </c>
      <c r="E84" t="s">
        <v>1192</v>
      </c>
      <c r="F84">
        <v>2020</v>
      </c>
      <c r="G84" s="51" t="s">
        <v>1123</v>
      </c>
      <c r="I84" t="s">
        <v>1076</v>
      </c>
      <c r="J84" t="s">
        <v>1060</v>
      </c>
      <c r="L84" s="51" t="s">
        <v>1193</v>
      </c>
      <c r="M84" t="s">
        <v>1194</v>
      </c>
      <c r="N84" t="s">
        <v>332</v>
      </c>
      <c r="O84" t="s">
        <v>1073</v>
      </c>
      <c r="V84">
        <v>70</v>
      </c>
      <c r="Y84">
        <f>8.5*0.75*0.5</f>
        <v>3.1875</v>
      </c>
    </row>
    <row r="85" spans="1:27" ht="15.75" customHeight="1">
      <c r="A85" t="s">
        <v>148</v>
      </c>
      <c r="B85" t="s">
        <v>1195</v>
      </c>
      <c r="C85">
        <v>23</v>
      </c>
      <c r="E85" t="s">
        <v>1192</v>
      </c>
      <c r="F85">
        <v>2020</v>
      </c>
      <c r="G85" s="51" t="s">
        <v>1123</v>
      </c>
      <c r="I85" t="s">
        <v>1076</v>
      </c>
      <c r="J85" t="s">
        <v>1060</v>
      </c>
      <c r="L85" s="51" t="s">
        <v>1193</v>
      </c>
      <c r="M85" t="s">
        <v>1194</v>
      </c>
      <c r="N85" t="s">
        <v>332</v>
      </c>
      <c r="O85" t="s">
        <v>1073</v>
      </c>
      <c r="V85">
        <v>70</v>
      </c>
      <c r="Y85">
        <f>7*0.75*0.5</f>
        <v>2.625</v>
      </c>
    </row>
    <row r="86" spans="1:27" ht="15.75" customHeight="1">
      <c r="A86" t="s">
        <v>663</v>
      </c>
      <c r="B86" t="s">
        <v>1155</v>
      </c>
      <c r="C86">
        <v>24</v>
      </c>
      <c r="E86" t="s">
        <v>1196</v>
      </c>
      <c r="F86">
        <v>2016</v>
      </c>
      <c r="G86" s="51" t="s">
        <v>666</v>
      </c>
      <c r="I86" t="s">
        <v>1076</v>
      </c>
      <c r="J86" t="s">
        <v>1060</v>
      </c>
      <c r="L86" s="51" t="s">
        <v>1197</v>
      </c>
      <c r="M86" t="s">
        <v>1198</v>
      </c>
      <c r="N86" t="s">
        <v>332</v>
      </c>
      <c r="O86" t="s">
        <v>1199</v>
      </c>
      <c r="V86" s="26" t="s">
        <v>1200</v>
      </c>
      <c r="Z86">
        <v>52</v>
      </c>
      <c r="AA86" s="54" t="s">
        <v>1201</v>
      </c>
    </row>
    <row r="87" spans="1:27" ht="15.75" customHeight="1">
      <c r="A87" t="s">
        <v>663</v>
      </c>
      <c r="B87" t="s">
        <v>1202</v>
      </c>
      <c r="C87">
        <v>24</v>
      </c>
      <c r="E87" t="s">
        <v>1196</v>
      </c>
      <c r="F87">
        <v>2016</v>
      </c>
      <c r="G87" s="51" t="s">
        <v>666</v>
      </c>
      <c r="I87" t="s">
        <v>1076</v>
      </c>
      <c r="J87" t="s">
        <v>1060</v>
      </c>
      <c r="L87" s="51" t="s">
        <v>1197</v>
      </c>
      <c r="M87" t="s">
        <v>1198</v>
      </c>
      <c r="N87" t="s">
        <v>332</v>
      </c>
      <c r="O87" t="s">
        <v>1199</v>
      </c>
      <c r="V87" s="26" t="s">
        <v>1200</v>
      </c>
      <c r="Z87">
        <v>-0.2</v>
      </c>
      <c r="AA87" s="54" t="s">
        <v>1201</v>
      </c>
    </row>
    <row r="88" spans="1:27" ht="15.75" customHeight="1">
      <c r="A88" t="s">
        <v>663</v>
      </c>
      <c r="B88" t="s">
        <v>1203</v>
      </c>
      <c r="C88">
        <v>25</v>
      </c>
      <c r="E88" t="s">
        <v>665</v>
      </c>
      <c r="F88">
        <v>2016</v>
      </c>
      <c r="G88" s="51" t="s">
        <v>666</v>
      </c>
      <c r="I88" t="s">
        <v>1076</v>
      </c>
      <c r="J88" t="s">
        <v>1204</v>
      </c>
      <c r="L88" s="51"/>
      <c r="Z88" s="15">
        <f>(0.92--1.25)/3.66666666</f>
        <v>0.59181818289421484</v>
      </c>
    </row>
    <row r="89" spans="1:27" ht="15.75" customHeight="1">
      <c r="A89" t="s">
        <v>663</v>
      </c>
      <c r="B89" t="s">
        <v>672</v>
      </c>
      <c r="C89">
        <v>25</v>
      </c>
      <c r="E89" t="s">
        <v>665</v>
      </c>
      <c r="F89">
        <v>2016</v>
      </c>
      <c r="G89" s="51" t="s">
        <v>666</v>
      </c>
      <c r="I89" t="s">
        <v>1076</v>
      </c>
      <c r="J89" t="s">
        <v>1204</v>
      </c>
      <c r="L89" s="51"/>
      <c r="Z89" s="15">
        <f>(3.41--2.02)/3.66666666</f>
        <v>1.4809090936016527</v>
      </c>
    </row>
    <row r="90" spans="1:27" ht="15.75" customHeight="1">
      <c r="A90" t="s">
        <v>663</v>
      </c>
      <c r="B90" t="s">
        <v>1205</v>
      </c>
      <c r="C90">
        <v>25</v>
      </c>
      <c r="E90" t="s">
        <v>665</v>
      </c>
      <c r="F90">
        <v>2016</v>
      </c>
      <c r="G90" s="51" t="s">
        <v>666</v>
      </c>
      <c r="I90" t="s">
        <v>1076</v>
      </c>
      <c r="J90" t="s">
        <v>1204</v>
      </c>
      <c r="L90" s="51"/>
      <c r="Z90" s="15">
        <f>(10.27--1.25)/3.66666666</f>
        <v>3.1418181875305784</v>
      </c>
    </row>
    <row r="91" spans="1:27" ht="15.75" customHeight="1">
      <c r="A91" t="s">
        <v>663</v>
      </c>
      <c r="B91" t="s">
        <v>673</v>
      </c>
      <c r="C91">
        <v>25</v>
      </c>
      <c r="E91" t="s">
        <v>665</v>
      </c>
      <c r="F91">
        <v>2016</v>
      </c>
      <c r="G91" s="51" t="s">
        <v>666</v>
      </c>
      <c r="I91" t="s">
        <v>1076</v>
      </c>
      <c r="J91" t="s">
        <v>1204</v>
      </c>
      <c r="L91" s="51"/>
      <c r="Z91" s="15">
        <f>(0.42-1.86)/3.66666666</f>
        <v>-0.39272727344132236</v>
      </c>
      <c r="AA91" t="s">
        <v>1172</v>
      </c>
    </row>
    <row r="92" spans="1:27" ht="15.75" customHeight="1">
      <c r="A92" t="s">
        <v>663</v>
      </c>
      <c r="B92" t="s">
        <v>674</v>
      </c>
      <c r="C92">
        <v>25</v>
      </c>
      <c r="E92" t="s">
        <v>665</v>
      </c>
      <c r="F92">
        <v>2016</v>
      </c>
      <c r="G92" s="51" t="s">
        <v>666</v>
      </c>
      <c r="I92" t="s">
        <v>1076</v>
      </c>
      <c r="J92" t="s">
        <v>1204</v>
      </c>
      <c r="L92" s="51"/>
      <c r="Z92" s="15">
        <f>(0.25-6.21)/3.66666666</f>
        <v>-1.6254545484099172</v>
      </c>
      <c r="AA92" t="s">
        <v>1172</v>
      </c>
    </row>
    <row r="93" spans="1:27" ht="15.75" customHeight="1">
      <c r="A93" t="s">
        <v>663</v>
      </c>
      <c r="B93" t="s">
        <v>1206</v>
      </c>
      <c r="C93">
        <v>25</v>
      </c>
      <c r="E93" t="s">
        <v>665</v>
      </c>
      <c r="F93">
        <v>2016</v>
      </c>
      <c r="G93" s="51" t="s">
        <v>666</v>
      </c>
      <c r="I93" t="s">
        <v>1076</v>
      </c>
      <c r="J93" t="s">
        <v>1204</v>
      </c>
      <c r="L93" s="51"/>
      <c r="Z93" s="15">
        <f>(1.12-1.86)/3.66666666</f>
        <v>-0.20181818218512396</v>
      </c>
      <c r="AA93" t="s">
        <v>1172</v>
      </c>
    </row>
    <row r="94" spans="1:27" ht="15.75" customHeight="1">
      <c r="A94" t="s">
        <v>1207</v>
      </c>
      <c r="B94" t="s">
        <v>1207</v>
      </c>
      <c r="C94">
        <v>26</v>
      </c>
      <c r="E94" t="s">
        <v>1208</v>
      </c>
      <c r="F94">
        <v>2023</v>
      </c>
      <c r="G94" s="51" t="s">
        <v>1091</v>
      </c>
      <c r="I94" t="s">
        <v>1076</v>
      </c>
      <c r="J94" t="s">
        <v>1013</v>
      </c>
      <c r="L94" t="s">
        <v>1209</v>
      </c>
      <c r="M94" t="s">
        <v>1210</v>
      </c>
      <c r="N94" t="s">
        <v>332</v>
      </c>
      <c r="O94" t="s">
        <v>1211</v>
      </c>
      <c r="U94">
        <v>60</v>
      </c>
      <c r="Y94">
        <v>1</v>
      </c>
      <c r="Z94" t="s">
        <v>1212</v>
      </c>
    </row>
    <row r="95" spans="1:27" ht="15.75" customHeight="1">
      <c r="A95" t="s">
        <v>1207</v>
      </c>
      <c r="B95" t="s">
        <v>1207</v>
      </c>
      <c r="C95">
        <v>26</v>
      </c>
      <c r="E95" t="s">
        <v>1208</v>
      </c>
      <c r="F95">
        <v>2023</v>
      </c>
      <c r="G95" s="51" t="s">
        <v>1091</v>
      </c>
      <c r="I95" t="s">
        <v>1076</v>
      </c>
      <c r="J95" t="s">
        <v>1013</v>
      </c>
      <c r="L95" t="s">
        <v>1209</v>
      </c>
      <c r="M95" t="s">
        <v>1210</v>
      </c>
      <c r="N95" t="s">
        <v>332</v>
      </c>
      <c r="O95" t="s">
        <v>1211</v>
      </c>
      <c r="U95">
        <v>100</v>
      </c>
      <c r="Y95">
        <v>1.2</v>
      </c>
      <c r="Z95" t="s">
        <v>1212</v>
      </c>
    </row>
    <row r="96" spans="1:27" ht="15.75" customHeight="1">
      <c r="A96" t="s">
        <v>1207</v>
      </c>
      <c r="B96" t="s">
        <v>1207</v>
      </c>
      <c r="C96">
        <v>26</v>
      </c>
      <c r="E96" t="s">
        <v>1208</v>
      </c>
      <c r="F96">
        <v>2023</v>
      </c>
      <c r="G96" s="51" t="s">
        <v>1091</v>
      </c>
      <c r="I96" t="s">
        <v>1076</v>
      </c>
      <c r="J96" t="s">
        <v>1013</v>
      </c>
      <c r="L96" t="s">
        <v>1209</v>
      </c>
      <c r="M96" t="s">
        <v>1210</v>
      </c>
      <c r="N96" t="s">
        <v>332</v>
      </c>
      <c r="O96" t="s">
        <v>1211</v>
      </c>
      <c r="U96">
        <v>138</v>
      </c>
      <c r="Y96">
        <v>1.25</v>
      </c>
      <c r="Z96" t="s">
        <v>1212</v>
      </c>
    </row>
    <row r="97" spans="1:26" ht="15.75" customHeight="1">
      <c r="A97" t="s">
        <v>1207</v>
      </c>
      <c r="B97" t="s">
        <v>1213</v>
      </c>
      <c r="C97">
        <v>27</v>
      </c>
      <c r="E97" t="s">
        <v>1214</v>
      </c>
      <c r="F97">
        <v>2019</v>
      </c>
      <c r="G97" s="51" t="s">
        <v>1215</v>
      </c>
      <c r="I97" t="s">
        <v>1076</v>
      </c>
      <c r="J97" t="s">
        <v>1060</v>
      </c>
      <c r="L97" t="s">
        <v>1216</v>
      </c>
      <c r="M97" t="s">
        <v>1217</v>
      </c>
      <c r="N97" t="s">
        <v>332</v>
      </c>
      <c r="O97" t="s">
        <v>1218</v>
      </c>
      <c r="U97">
        <v>90</v>
      </c>
      <c r="V97" t="s">
        <v>1219</v>
      </c>
      <c r="Y97">
        <v>0.2</v>
      </c>
      <c r="Z97" t="s">
        <v>1220</v>
      </c>
    </row>
    <row r="98" spans="1:26" ht="15.75" customHeight="1">
      <c r="A98" t="s">
        <v>1207</v>
      </c>
      <c r="B98" t="s">
        <v>1221</v>
      </c>
      <c r="C98">
        <v>27</v>
      </c>
      <c r="E98" t="s">
        <v>1214</v>
      </c>
      <c r="F98">
        <v>2019</v>
      </c>
      <c r="G98" s="51" t="s">
        <v>1215</v>
      </c>
      <c r="I98" t="s">
        <v>1076</v>
      </c>
      <c r="J98" t="s">
        <v>1060</v>
      </c>
      <c r="L98" t="s">
        <v>1222</v>
      </c>
      <c r="M98" t="s">
        <v>1223</v>
      </c>
      <c r="N98" t="s">
        <v>332</v>
      </c>
      <c r="O98" t="s">
        <v>1218</v>
      </c>
      <c r="U98">
        <v>90</v>
      </c>
      <c r="V98" t="s">
        <v>1219</v>
      </c>
      <c r="Y98">
        <v>0.3</v>
      </c>
      <c r="Z98" t="s">
        <v>1220</v>
      </c>
    </row>
    <row r="99" spans="1:26" ht="15.75" customHeight="1">
      <c r="A99" t="s">
        <v>1207</v>
      </c>
      <c r="B99" t="s">
        <v>1224</v>
      </c>
      <c r="C99">
        <v>27</v>
      </c>
      <c r="E99" t="s">
        <v>1214</v>
      </c>
      <c r="F99">
        <v>2019</v>
      </c>
      <c r="G99" s="51" t="s">
        <v>1215</v>
      </c>
      <c r="I99" t="s">
        <v>1076</v>
      </c>
      <c r="J99" t="s">
        <v>1060</v>
      </c>
      <c r="L99" t="s">
        <v>1225</v>
      </c>
      <c r="M99" t="s">
        <v>1226</v>
      </c>
      <c r="N99" t="s">
        <v>332</v>
      </c>
      <c r="O99" t="s">
        <v>1062</v>
      </c>
      <c r="U99">
        <v>90</v>
      </c>
      <c r="V99" t="s">
        <v>1219</v>
      </c>
      <c r="Y99">
        <v>0.1</v>
      </c>
      <c r="Z99" t="s">
        <v>1220</v>
      </c>
    </row>
    <row r="100" spans="1:26" ht="15.75" customHeight="1">
      <c r="A100" t="s">
        <v>1207</v>
      </c>
      <c r="B100" t="s">
        <v>1227</v>
      </c>
      <c r="C100">
        <v>27</v>
      </c>
      <c r="E100" t="s">
        <v>1214</v>
      </c>
      <c r="F100">
        <v>2019</v>
      </c>
      <c r="G100" s="51" t="s">
        <v>1215</v>
      </c>
      <c r="I100" t="s">
        <v>1076</v>
      </c>
      <c r="J100" t="s">
        <v>1060</v>
      </c>
      <c r="L100" t="s">
        <v>1222</v>
      </c>
      <c r="M100" t="s">
        <v>1223</v>
      </c>
      <c r="N100" t="s">
        <v>332</v>
      </c>
      <c r="O100" t="s">
        <v>1062</v>
      </c>
      <c r="U100">
        <v>90</v>
      </c>
      <c r="V100" t="s">
        <v>1219</v>
      </c>
      <c r="Y100">
        <v>0.1</v>
      </c>
      <c r="Z100" t="s">
        <v>1220</v>
      </c>
    </row>
    <row r="101" spans="1:26" ht="15.75" customHeight="1">
      <c r="A101" t="s">
        <v>1207</v>
      </c>
      <c r="B101" t="s">
        <v>1228</v>
      </c>
      <c r="C101">
        <v>28</v>
      </c>
      <c r="E101" t="s">
        <v>1229</v>
      </c>
      <c r="F101">
        <v>2021</v>
      </c>
      <c r="G101" t="s">
        <v>57</v>
      </c>
      <c r="I101" t="s">
        <v>1076</v>
      </c>
      <c r="J101" t="s">
        <v>1077</v>
      </c>
      <c r="N101" t="s">
        <v>332</v>
      </c>
      <c r="O101" t="s">
        <v>1062</v>
      </c>
      <c r="U101">
        <v>120</v>
      </c>
      <c r="V101" t="s">
        <v>1230</v>
      </c>
      <c r="Y101" s="15">
        <f>(1.23/1.71)*2*0.8*0.5</f>
        <v>0.57543859649122808</v>
      </c>
    </row>
    <row r="102" spans="1:26" ht="15.75" customHeight="1">
      <c r="A102" t="s">
        <v>1207</v>
      </c>
      <c r="B102" t="s">
        <v>1231</v>
      </c>
      <c r="C102">
        <v>28</v>
      </c>
      <c r="E102" t="s">
        <v>1229</v>
      </c>
      <c r="F102">
        <v>2021</v>
      </c>
      <c r="G102" t="s">
        <v>57</v>
      </c>
      <c r="I102" t="s">
        <v>1076</v>
      </c>
      <c r="J102" t="s">
        <v>1077</v>
      </c>
      <c r="N102" t="s">
        <v>332</v>
      </c>
      <c r="O102" t="s">
        <v>1062</v>
      </c>
      <c r="U102">
        <v>120</v>
      </c>
      <c r="V102" t="s">
        <v>1230</v>
      </c>
      <c r="Y102" s="15">
        <f>(1.51/1.98)*4.2*0.8*0.5</f>
        <v>1.2812121212121212</v>
      </c>
    </row>
    <row r="103" spans="1:26" ht="15.75" customHeight="1">
      <c r="A103" t="s">
        <v>1207</v>
      </c>
      <c r="B103" t="s">
        <v>1232</v>
      </c>
      <c r="C103">
        <v>28</v>
      </c>
      <c r="E103" t="s">
        <v>1229</v>
      </c>
      <c r="F103">
        <v>2021</v>
      </c>
      <c r="G103" t="s">
        <v>57</v>
      </c>
      <c r="I103" t="s">
        <v>1076</v>
      </c>
      <c r="J103" t="s">
        <v>1077</v>
      </c>
      <c r="N103" t="s">
        <v>332</v>
      </c>
      <c r="O103" t="s">
        <v>1062</v>
      </c>
      <c r="U103">
        <v>120</v>
      </c>
      <c r="V103" t="s">
        <v>1230</v>
      </c>
      <c r="Y103" s="15">
        <f>(1.62/2.28)*7.8*0.8*0.5</f>
        <v>2.2168421052631584</v>
      </c>
    </row>
    <row r="104" spans="1:26" ht="15.75" customHeight="1">
      <c r="A104" t="s">
        <v>1207</v>
      </c>
      <c r="B104" t="s">
        <v>1233</v>
      </c>
      <c r="C104">
        <v>28</v>
      </c>
      <c r="E104" t="s">
        <v>1229</v>
      </c>
      <c r="F104">
        <v>2021</v>
      </c>
      <c r="G104" t="s">
        <v>57</v>
      </c>
      <c r="I104" t="s">
        <v>1076</v>
      </c>
      <c r="J104" t="s">
        <v>1077</v>
      </c>
      <c r="N104" t="s">
        <v>332</v>
      </c>
      <c r="O104" t="s">
        <v>1218</v>
      </c>
      <c r="U104">
        <v>120</v>
      </c>
      <c r="V104" t="s">
        <v>1230</v>
      </c>
      <c r="Y104" s="15">
        <f>(1.63/1.85)*1.9*0.7*0.5</f>
        <v>0.58591891891891879</v>
      </c>
    </row>
    <row r="105" spans="1:26" ht="15.75" customHeight="1">
      <c r="A105" t="s">
        <v>1207</v>
      </c>
      <c r="B105" t="s">
        <v>1234</v>
      </c>
      <c r="C105">
        <v>28</v>
      </c>
      <c r="E105" t="s">
        <v>1229</v>
      </c>
      <c r="F105">
        <v>2021</v>
      </c>
      <c r="G105" t="s">
        <v>57</v>
      </c>
      <c r="I105" t="s">
        <v>1076</v>
      </c>
      <c r="J105" t="s">
        <v>1077</v>
      </c>
      <c r="N105" t="s">
        <v>332</v>
      </c>
      <c r="O105" t="s">
        <v>1218</v>
      </c>
      <c r="U105">
        <v>120</v>
      </c>
      <c r="V105" t="s">
        <v>1230</v>
      </c>
      <c r="Y105" s="15">
        <f>(1.45/1.72)*3.3*0.7*0.5</f>
        <v>0.97369186046511613</v>
      </c>
    </row>
    <row r="106" spans="1:26" ht="15.75" customHeight="1">
      <c r="A106" t="s">
        <v>1207</v>
      </c>
      <c r="B106" t="s">
        <v>1235</v>
      </c>
      <c r="C106">
        <v>28</v>
      </c>
      <c r="E106" t="s">
        <v>1229</v>
      </c>
      <c r="F106">
        <v>2021</v>
      </c>
      <c r="G106" t="s">
        <v>57</v>
      </c>
      <c r="I106" t="s">
        <v>1076</v>
      </c>
      <c r="J106" t="s">
        <v>1077</v>
      </c>
      <c r="N106" t="s">
        <v>332</v>
      </c>
      <c r="O106" t="s">
        <v>1218</v>
      </c>
      <c r="U106">
        <v>120</v>
      </c>
      <c r="V106" t="s">
        <v>1230</v>
      </c>
      <c r="Y106" s="15">
        <f>(1.42/1.81)*6.7*0.7*0.5</f>
        <v>1.8397237569060769</v>
      </c>
    </row>
    <row r="107" spans="1:26" ht="15.75" customHeight="1">
      <c r="A107" t="s">
        <v>1207</v>
      </c>
      <c r="B107" t="s">
        <v>1236</v>
      </c>
      <c r="C107">
        <v>29</v>
      </c>
      <c r="E107" t="s">
        <v>1237</v>
      </c>
      <c r="F107">
        <v>2017</v>
      </c>
      <c r="G107" t="s">
        <v>348</v>
      </c>
      <c r="I107" t="s">
        <v>1076</v>
      </c>
      <c r="J107" t="s">
        <v>1060</v>
      </c>
      <c r="N107" t="s">
        <v>332</v>
      </c>
      <c r="O107" t="s">
        <v>1211</v>
      </c>
      <c r="V107">
        <v>10</v>
      </c>
      <c r="Y107" s="15">
        <f>(3000-2800)/10/(29.6666*1.4)</f>
        <v>0.48154201309601657</v>
      </c>
    </row>
    <row r="108" spans="1:26" ht="15.75" customHeight="1">
      <c r="A108" t="s">
        <v>1207</v>
      </c>
      <c r="B108" t="s">
        <v>1238</v>
      </c>
      <c r="C108">
        <v>29</v>
      </c>
      <c r="E108" t="s">
        <v>1237</v>
      </c>
      <c r="F108">
        <v>2017</v>
      </c>
      <c r="G108" t="s">
        <v>348</v>
      </c>
      <c r="I108" t="s">
        <v>1076</v>
      </c>
      <c r="J108" t="s">
        <v>1060</v>
      </c>
      <c r="N108" t="s">
        <v>332</v>
      </c>
      <c r="O108" t="s">
        <v>1211</v>
      </c>
      <c r="V108">
        <v>30</v>
      </c>
      <c r="Y108" s="15">
        <f>(3800-2800)/30/(29.6666*1.4)</f>
        <v>0.80257002182669435</v>
      </c>
    </row>
    <row r="109" spans="1:26" ht="15.75" customHeight="1">
      <c r="A109" t="s">
        <v>1239</v>
      </c>
      <c r="B109" t="s">
        <v>1239</v>
      </c>
      <c r="C109">
        <v>30</v>
      </c>
      <c r="E109" t="s">
        <v>1240</v>
      </c>
      <c r="F109">
        <v>2021</v>
      </c>
      <c r="G109" t="s">
        <v>1241</v>
      </c>
      <c r="I109" t="s">
        <v>1092</v>
      </c>
      <c r="J109" t="s">
        <v>611</v>
      </c>
      <c r="L109" t="s">
        <v>1242</v>
      </c>
      <c r="M109" t="s">
        <v>1243</v>
      </c>
      <c r="N109" t="s">
        <v>332</v>
      </c>
      <c r="O109" t="s">
        <v>1062</v>
      </c>
      <c r="X109">
        <v>89.5</v>
      </c>
    </row>
    <row r="110" spans="1:26" ht="15.75" customHeight="1">
      <c r="A110" t="s">
        <v>1239</v>
      </c>
      <c r="B110" t="s">
        <v>1239</v>
      </c>
      <c r="C110">
        <v>30</v>
      </c>
      <c r="E110" t="s">
        <v>1240</v>
      </c>
      <c r="F110">
        <v>2021</v>
      </c>
      <c r="G110" t="s">
        <v>1241</v>
      </c>
      <c r="I110" t="s">
        <v>1092</v>
      </c>
      <c r="J110" t="s">
        <v>611</v>
      </c>
      <c r="L110" t="s">
        <v>1242</v>
      </c>
      <c r="M110" t="s">
        <v>1243</v>
      </c>
      <c r="N110" t="s">
        <v>1085</v>
      </c>
      <c r="O110" t="s">
        <v>656</v>
      </c>
      <c r="X110">
        <v>57.7</v>
      </c>
    </row>
    <row r="111" spans="1:26" ht="15.75" customHeight="1">
      <c r="A111" t="s">
        <v>1239</v>
      </c>
      <c r="B111" t="s">
        <v>1239</v>
      </c>
      <c r="C111">
        <v>30</v>
      </c>
      <c r="E111" t="s">
        <v>1240</v>
      </c>
      <c r="F111">
        <v>2021</v>
      </c>
      <c r="G111" t="s">
        <v>1241</v>
      </c>
      <c r="I111" t="s">
        <v>1092</v>
      </c>
      <c r="J111" t="s">
        <v>611</v>
      </c>
      <c r="L111" t="s">
        <v>1242</v>
      </c>
      <c r="M111" t="s">
        <v>1243</v>
      </c>
      <c r="N111" t="s">
        <v>1085</v>
      </c>
      <c r="O111" t="s">
        <v>617</v>
      </c>
      <c r="X111">
        <v>64.099999999999994</v>
      </c>
    </row>
    <row r="112" spans="1:26" ht="15.75" customHeight="1">
      <c r="A112" t="s">
        <v>1239</v>
      </c>
      <c r="B112" t="s">
        <v>1239</v>
      </c>
      <c r="C112">
        <v>30</v>
      </c>
      <c r="E112" t="s">
        <v>1240</v>
      </c>
      <c r="F112">
        <v>2021</v>
      </c>
      <c r="G112" t="s">
        <v>1241</v>
      </c>
      <c r="I112" t="s">
        <v>1092</v>
      </c>
      <c r="J112" t="s">
        <v>611</v>
      </c>
      <c r="L112" t="s">
        <v>1242</v>
      </c>
      <c r="M112" t="s">
        <v>1243</v>
      </c>
      <c r="N112" t="s">
        <v>1085</v>
      </c>
      <c r="O112" t="s">
        <v>659</v>
      </c>
      <c r="X112">
        <v>62.7</v>
      </c>
    </row>
    <row r="113" spans="1:27" ht="15.75" customHeight="1">
      <c r="A113" t="s">
        <v>1239</v>
      </c>
      <c r="B113" t="s">
        <v>1239</v>
      </c>
      <c r="C113">
        <v>30</v>
      </c>
      <c r="E113" t="s">
        <v>1240</v>
      </c>
      <c r="F113">
        <v>2021</v>
      </c>
      <c r="G113" t="s">
        <v>1241</v>
      </c>
      <c r="I113" t="s">
        <v>1092</v>
      </c>
      <c r="J113" t="s">
        <v>611</v>
      </c>
      <c r="L113" t="s">
        <v>1242</v>
      </c>
      <c r="M113" t="s">
        <v>1243</v>
      </c>
      <c r="N113" t="s">
        <v>1085</v>
      </c>
      <c r="O113" t="s">
        <v>1244</v>
      </c>
      <c r="X113">
        <v>65</v>
      </c>
    </row>
    <row r="114" spans="1:27" ht="15.75" customHeight="1">
      <c r="A114" t="s">
        <v>1239</v>
      </c>
      <c r="B114" t="s">
        <v>1239</v>
      </c>
      <c r="C114">
        <v>30</v>
      </c>
      <c r="E114" t="s">
        <v>1240</v>
      </c>
      <c r="F114">
        <v>2021</v>
      </c>
      <c r="G114" t="s">
        <v>1241</v>
      </c>
      <c r="I114" t="s">
        <v>1092</v>
      </c>
      <c r="J114" t="s">
        <v>611</v>
      </c>
      <c r="L114" t="s">
        <v>1242</v>
      </c>
      <c r="M114" t="s">
        <v>1243</v>
      </c>
      <c r="N114" t="s">
        <v>1085</v>
      </c>
      <c r="O114" t="s">
        <v>1245</v>
      </c>
      <c r="X114">
        <v>59</v>
      </c>
    </row>
    <row r="115" spans="1:27" ht="15.75" customHeight="1">
      <c r="A115" t="s">
        <v>1239</v>
      </c>
      <c r="B115" t="s">
        <v>1246</v>
      </c>
      <c r="C115">
        <v>31</v>
      </c>
      <c r="E115" t="s">
        <v>1247</v>
      </c>
      <c r="F115">
        <v>2014</v>
      </c>
      <c r="G115" t="s">
        <v>1116</v>
      </c>
      <c r="I115" t="s">
        <v>1076</v>
      </c>
      <c r="J115" t="s">
        <v>1060</v>
      </c>
      <c r="N115" t="s">
        <v>140</v>
      </c>
      <c r="Y115" s="56">
        <v>0.25</v>
      </c>
      <c r="AA115" t="s">
        <v>1248</v>
      </c>
    </row>
    <row r="116" spans="1:27" ht="15.75" customHeight="1">
      <c r="A116" t="s">
        <v>1239</v>
      </c>
      <c r="B116" t="s">
        <v>1249</v>
      </c>
      <c r="C116">
        <v>31</v>
      </c>
      <c r="E116" t="s">
        <v>1247</v>
      </c>
      <c r="F116">
        <v>2014</v>
      </c>
      <c r="G116" t="s">
        <v>1116</v>
      </c>
      <c r="I116" t="s">
        <v>1076</v>
      </c>
      <c r="J116" t="s">
        <v>1060</v>
      </c>
      <c r="N116" t="s">
        <v>1250</v>
      </c>
      <c r="Y116" s="56">
        <v>0.35</v>
      </c>
      <c r="AA116" t="s">
        <v>1248</v>
      </c>
    </row>
    <row r="117" spans="1:27" ht="15.75" customHeight="1">
      <c r="A117" t="s">
        <v>1239</v>
      </c>
      <c r="B117" t="s">
        <v>1251</v>
      </c>
      <c r="C117">
        <v>31</v>
      </c>
      <c r="E117" t="s">
        <v>1247</v>
      </c>
      <c r="F117">
        <v>2014</v>
      </c>
      <c r="G117" t="s">
        <v>1116</v>
      </c>
      <c r="I117" t="s">
        <v>1076</v>
      </c>
      <c r="J117" t="s">
        <v>1060</v>
      </c>
      <c r="N117" t="s">
        <v>140</v>
      </c>
      <c r="Y117" s="56">
        <v>0.1</v>
      </c>
      <c r="AA117" t="s">
        <v>1248</v>
      </c>
    </row>
    <row r="118" spans="1:27" ht="15.75" customHeight="1">
      <c r="A118" t="s">
        <v>1239</v>
      </c>
      <c r="B118" t="s">
        <v>1252</v>
      </c>
      <c r="C118">
        <v>32</v>
      </c>
      <c r="E118" t="s">
        <v>1253</v>
      </c>
      <c r="F118">
        <v>2016</v>
      </c>
      <c r="G118" t="s">
        <v>1254</v>
      </c>
      <c r="I118" t="s">
        <v>667</v>
      </c>
      <c r="J118" t="s">
        <v>1255</v>
      </c>
      <c r="U118" t="s">
        <v>1256</v>
      </c>
      <c r="Y118" s="23">
        <v>0.16500000000000001</v>
      </c>
      <c r="AA118" t="s">
        <v>1257</v>
      </c>
    </row>
    <row r="119" spans="1:27" ht="15.75" customHeight="1">
      <c r="A119" t="s">
        <v>1239</v>
      </c>
      <c r="B119" t="s">
        <v>1068</v>
      </c>
      <c r="C119">
        <v>33</v>
      </c>
      <c r="E119" t="s">
        <v>1258</v>
      </c>
      <c r="F119">
        <v>2021</v>
      </c>
      <c r="G119" t="s">
        <v>1040</v>
      </c>
      <c r="I119" t="s">
        <v>1076</v>
      </c>
      <c r="J119" t="s">
        <v>1259</v>
      </c>
      <c r="L119" t="s">
        <v>1260</v>
      </c>
      <c r="M119" t="s">
        <v>1261</v>
      </c>
      <c r="N119" t="s">
        <v>1085</v>
      </c>
      <c r="O119" t="s">
        <v>1262</v>
      </c>
      <c r="U119">
        <v>100</v>
      </c>
      <c r="W119">
        <v>73</v>
      </c>
      <c r="X119">
        <v>149</v>
      </c>
    </row>
    <row r="120" spans="1:27" ht="15.75" customHeight="1">
      <c r="A120" t="s">
        <v>1239</v>
      </c>
      <c r="B120" t="s">
        <v>595</v>
      </c>
      <c r="C120">
        <v>33</v>
      </c>
      <c r="E120" t="s">
        <v>1258</v>
      </c>
      <c r="F120">
        <v>2021</v>
      </c>
      <c r="G120" t="s">
        <v>1040</v>
      </c>
      <c r="I120" t="s">
        <v>1076</v>
      </c>
      <c r="J120" t="s">
        <v>1259</v>
      </c>
      <c r="L120" t="s">
        <v>1260</v>
      </c>
      <c r="M120" t="s">
        <v>1261</v>
      </c>
      <c r="N120" t="s">
        <v>332</v>
      </c>
      <c r="O120" t="s">
        <v>1062</v>
      </c>
      <c r="U120">
        <v>65</v>
      </c>
      <c r="W120">
        <v>177</v>
      </c>
      <c r="X120">
        <v>151</v>
      </c>
    </row>
    <row r="121" spans="1:27" s="28" customFormat="1" ht="15.75" customHeight="1">
      <c r="A121" s="28" t="s">
        <v>1239</v>
      </c>
      <c r="B121" s="28" t="s">
        <v>1263</v>
      </c>
      <c r="C121" s="28">
        <v>34</v>
      </c>
      <c r="D121" s="28" t="s">
        <v>1089</v>
      </c>
      <c r="E121" s="28" t="s">
        <v>1264</v>
      </c>
      <c r="F121" s="28">
        <v>2021</v>
      </c>
      <c r="G121" s="28" t="s">
        <v>57</v>
      </c>
      <c r="I121" s="28" t="s">
        <v>1076</v>
      </c>
      <c r="J121" s="28" t="s">
        <v>1060</v>
      </c>
      <c r="N121" s="28" t="s">
        <v>332</v>
      </c>
      <c r="O121" s="28" t="s">
        <v>1265</v>
      </c>
      <c r="S121" s="30"/>
      <c r="T121" s="30"/>
      <c r="AA121" s="28" t="s">
        <v>1266</v>
      </c>
    </row>
  </sheetData>
  <autoFilter ref="A3:AL121" xr:uid="{E5739F3F-8A32-644E-955E-267F3AEEDB41}"/>
  <phoneticPr fontId="7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231A4D77F5DF174BB510813B9F54963C" ma:contentTypeVersion="4" ma:contentTypeDescription="Luo uusi asiakirja." ma:contentTypeScope="" ma:versionID="533fc11355430b8e607387e05a371ff0">
  <xsd:schema xmlns:xsd="http://www.w3.org/2001/XMLSchema" xmlns:xs="http://www.w3.org/2001/XMLSchema" xmlns:p="http://schemas.microsoft.com/office/2006/metadata/properties" xmlns:ns2="995696db-103e-4bd5-8e2b-eb7a96000631" targetNamespace="http://schemas.microsoft.com/office/2006/metadata/properties" ma:root="true" ma:fieldsID="cabbae50f7460f3bb5e8cf667119688f" ns2:_="">
    <xsd:import namespace="995696db-103e-4bd5-8e2b-eb7a96000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5696db-103e-4bd5-8e2b-eb7a960006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083C2C-D048-486B-8DF2-E5667B240018}"/>
</file>

<file path=customXml/itemProps2.xml><?xml version="1.0" encoding="utf-8"?>
<ds:datastoreItem xmlns:ds="http://schemas.openxmlformats.org/officeDocument/2006/customXml" ds:itemID="{7DA98540-7DB4-484F-8850-E2C2B18CEC8B}"/>
</file>

<file path=customXml/itemProps3.xml><?xml version="1.0" encoding="utf-8"?>
<ds:datastoreItem xmlns:ds="http://schemas.openxmlformats.org/officeDocument/2006/customXml" ds:itemID="{30B8A0DA-8517-4DE9-B6DA-03E35A9130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REY</dc:creator>
  <cp:keywords/>
  <dc:description/>
  <cp:lastModifiedBy>tommaso.chiti</cp:lastModifiedBy>
  <cp:revision/>
  <dcterms:created xsi:type="dcterms:W3CDTF">2023-10-25T15:04:42Z</dcterms:created>
  <dcterms:modified xsi:type="dcterms:W3CDTF">2024-02-27T10:46:43Z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0x010100231A4D77F5DF174BB510813B9F54963C</vt:lpwstr>
  </property>
</Properties>
</file>