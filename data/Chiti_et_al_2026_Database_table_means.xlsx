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arey/Dropbox/ANA2/CARBONFARMINGEFI2023/"/>
    </mc:Choice>
  </mc:AlternateContent>
  <xr:revisionPtr revIDLastSave="0" documentId="8_{5C3BED48-0274-8D40-9D79-EC71D80DE797}" xr6:coauthVersionLast="47" xr6:coauthVersionMax="47" xr10:uidLastSave="{00000000-0000-0000-0000-000000000000}"/>
  <bookViews>
    <workbookView xWindow="8000" yWindow="820" windowWidth="32000" windowHeight="15600" xr2:uid="{B6AD1B73-3297-E74E-A84E-ACBB81FC095F}"/>
  </bookViews>
  <sheets>
    <sheet name="A" sheetId="1" r:id="rId1"/>
    <sheet name="Sheet3" sheetId="4" r:id="rId2"/>
    <sheet name="Sheet2" sheetId="3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J16" i="1" s="1"/>
  <c r="H23" i="1"/>
  <c r="H16" i="1"/>
  <c r="J36" i="1"/>
  <c r="K32" i="1"/>
  <c r="K9" i="1"/>
  <c r="K4" i="1"/>
  <c r="H8" i="1"/>
  <c r="I11" i="1"/>
  <c r="I13" i="1"/>
  <c r="I14" i="1"/>
  <c r="I15" i="1"/>
  <c r="K25" i="1"/>
  <c r="I18" i="1"/>
  <c r="I19" i="1"/>
  <c r="I20" i="1"/>
  <c r="I21" i="1"/>
  <c r="I22" i="1"/>
  <c r="I23" i="1"/>
  <c r="I24" i="1"/>
  <c r="I25" i="1"/>
  <c r="K26" i="1" s="1"/>
  <c r="I26" i="1"/>
  <c r="I27" i="1"/>
  <c r="I28" i="1"/>
  <c r="H29" i="1"/>
  <c r="J25" i="1" s="1"/>
  <c r="K8" i="1"/>
  <c r="I4" i="1"/>
  <c r="I5" i="1"/>
  <c r="I6" i="1"/>
  <c r="I7" i="1"/>
  <c r="I3" i="1"/>
  <c r="I55" i="1"/>
  <c r="I54" i="1"/>
  <c r="I53" i="1"/>
  <c r="I52" i="1"/>
  <c r="K52" i="1" s="1"/>
  <c r="I51" i="1"/>
  <c r="I50" i="1"/>
  <c r="I49" i="1"/>
  <c r="I48" i="1"/>
  <c r="I47" i="1"/>
  <c r="K44" i="1" s="1"/>
  <c r="I41" i="1"/>
  <c r="I40" i="1"/>
  <c r="K40" i="1" s="1"/>
  <c r="I39" i="1"/>
  <c r="I38" i="1"/>
  <c r="I37" i="1"/>
  <c r="I36" i="1"/>
  <c r="I35" i="1"/>
  <c r="K35" i="1" s="1"/>
  <c r="I32" i="1"/>
  <c r="I31" i="1"/>
  <c r="K31" i="1" s="1"/>
  <c r="I17" i="1"/>
  <c r="K16" i="1" s="1"/>
  <c r="K3" i="1"/>
  <c r="H31" i="1"/>
  <c r="H32" i="1"/>
  <c r="H33" i="1"/>
  <c r="H34" i="1"/>
  <c r="H35" i="1"/>
  <c r="H36" i="1"/>
  <c r="H37" i="1"/>
  <c r="H38" i="1"/>
  <c r="H40" i="1"/>
  <c r="J41" i="1" s="1"/>
  <c r="H41" i="1"/>
  <c r="H44" i="1"/>
  <c r="H45" i="1"/>
  <c r="H46" i="1"/>
  <c r="H48" i="1"/>
  <c r="H49" i="1"/>
  <c r="H50" i="1"/>
  <c r="H51" i="1"/>
  <c r="H52" i="1"/>
  <c r="J52" i="1" s="1"/>
  <c r="H55" i="1"/>
  <c r="J10" i="2"/>
  <c r="P12" i="3"/>
  <c r="J31" i="1" l="1"/>
  <c r="J44" i="1"/>
  <c r="K48" i="1"/>
  <c r="K38" i="1"/>
  <c r="K36" i="1"/>
  <c r="J37" i="1"/>
  <c r="J38" i="1"/>
  <c r="K41" i="1"/>
  <c r="J35" i="1"/>
  <c r="K37" i="1"/>
  <c r="J45" i="1"/>
  <c r="J48" i="1"/>
  <c r="J17" i="1"/>
  <c r="J49" i="1"/>
  <c r="K17" i="1"/>
  <c r="K49" i="1"/>
  <c r="J40" i="1"/>
  <c r="J53" i="1"/>
  <c r="J32" i="1"/>
  <c r="K53" i="1"/>
</calcChain>
</file>

<file path=xl/sharedStrings.xml><?xml version="1.0" encoding="utf-8"?>
<sst xmlns="http://schemas.openxmlformats.org/spreadsheetml/2006/main" count="316" uniqueCount="77">
  <si>
    <t>Afforestation</t>
  </si>
  <si>
    <t>Cropland</t>
  </si>
  <si>
    <t>Conifers</t>
  </si>
  <si>
    <t>Broadleaf</t>
  </si>
  <si>
    <t>Grassland</t>
  </si>
  <si>
    <t>Increase Rotation period</t>
  </si>
  <si>
    <t>N fixing species</t>
  </si>
  <si>
    <t>Coppice high forests</t>
  </si>
  <si>
    <t>Agroforestry</t>
  </si>
  <si>
    <t>Min</t>
  </si>
  <si>
    <t>Max</t>
  </si>
  <si>
    <t>SOC rate</t>
  </si>
  <si>
    <t>AGB rate</t>
  </si>
  <si>
    <t>Number of studies</t>
  </si>
  <si>
    <t>BOREAL</t>
  </si>
  <si>
    <t>TEMPERATE</t>
  </si>
  <si>
    <t>BOTH</t>
  </si>
  <si>
    <t>MEDITERRANEAN</t>
  </si>
  <si>
    <t>Peatland management</t>
  </si>
  <si>
    <t>Wood ash fertilisation</t>
  </si>
  <si>
    <t>Increased rotation period</t>
  </si>
  <si>
    <t>Peatland restauration</t>
  </si>
  <si>
    <t>Fertilisation</t>
  </si>
  <si>
    <t>Liming</t>
  </si>
  <si>
    <t>TOTAL</t>
  </si>
  <si>
    <t>MEAN</t>
  </si>
  <si>
    <t>SE</t>
  </si>
  <si>
    <t>n</t>
  </si>
  <si>
    <t>Water tble</t>
  </si>
  <si>
    <t>Rewetting</t>
  </si>
  <si>
    <t>Harvesting</t>
  </si>
  <si>
    <t xml:space="preserve">Young </t>
  </si>
  <si>
    <t>Mature</t>
  </si>
  <si>
    <t>Management</t>
  </si>
  <si>
    <t>Species</t>
  </si>
  <si>
    <t>Native</t>
  </si>
  <si>
    <t>Type</t>
  </si>
  <si>
    <t>Afforestation cropland</t>
  </si>
  <si>
    <t>Pinus sylvestris</t>
  </si>
  <si>
    <t>Conifer</t>
  </si>
  <si>
    <t>Pinus halepensis</t>
  </si>
  <si>
    <t>Pseudotsuga menziesii</t>
  </si>
  <si>
    <t>Plantation</t>
  </si>
  <si>
    <t>Ceratonia siliqua</t>
  </si>
  <si>
    <t>Young</t>
  </si>
  <si>
    <t>Quercus suber/ilex</t>
  </si>
  <si>
    <t>Juglans regia</t>
  </si>
  <si>
    <t>Quercus robur/Alnus</t>
  </si>
  <si>
    <t>Afforestation Grassland</t>
  </si>
  <si>
    <t>Eucaliptus nitens</t>
  </si>
  <si>
    <t>Pinus radiata</t>
  </si>
  <si>
    <t>Pinus sylvetsris</t>
  </si>
  <si>
    <t>Pinus nigra</t>
  </si>
  <si>
    <t>Old</t>
  </si>
  <si>
    <t>Picea abies</t>
  </si>
  <si>
    <t>Norway Spruce</t>
  </si>
  <si>
    <t>Oak spp</t>
  </si>
  <si>
    <t>Afforestation grassland</t>
  </si>
  <si>
    <t>Betula</t>
  </si>
  <si>
    <t>Norway spruce/scots Pine</t>
  </si>
  <si>
    <t>Birch</t>
  </si>
  <si>
    <t>Broadleaves</t>
  </si>
  <si>
    <t>Beech/Oak/Maple/Lime</t>
  </si>
  <si>
    <t>Spruce</t>
  </si>
  <si>
    <t>Poplar/Alder/Maple</t>
  </si>
  <si>
    <t>Spruce/Larch</t>
  </si>
  <si>
    <t>P. Sylvestris</t>
  </si>
  <si>
    <t>Pine</t>
  </si>
  <si>
    <t>Norway spruce</t>
  </si>
  <si>
    <t>Mg C ha1yr1</t>
  </si>
  <si>
    <t>Slow</t>
  </si>
  <si>
    <t>Fast</t>
  </si>
  <si>
    <t>;Mature</t>
  </si>
  <si>
    <r>
      <t>Populus</t>
    </r>
    <r>
      <rPr>
        <sz val="14"/>
        <color theme="1"/>
        <rFont val="Calibri"/>
        <family val="2"/>
      </rPr>
      <t xml:space="preserve"> ssp.</t>
    </r>
  </si>
  <si>
    <r>
      <t>Eucaliptus</t>
    </r>
    <r>
      <rPr>
        <sz val="14"/>
        <color theme="1"/>
        <rFont val="Calibri"/>
        <family val="2"/>
      </rPr>
      <t xml:space="preserve"> ssp.</t>
    </r>
  </si>
  <si>
    <r>
      <t>Eucaliptus</t>
    </r>
    <r>
      <rPr>
        <sz val="14"/>
        <color theme="1"/>
        <rFont val="Calibri"/>
        <family val="2"/>
      </rPr>
      <t xml:space="preserve"> globulus</t>
    </r>
  </si>
  <si>
    <r>
      <t>Betula</t>
    </r>
    <r>
      <rPr>
        <sz val="14"/>
        <color theme="1"/>
        <rFont val="Calibri"/>
        <family val="2"/>
      </rPr>
      <t xml:space="preserve"> spp.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</si>
</sst>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TimesNewRomanPSMT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C00000"/>
      <name val="Calibri"/>
      <family val="2"/>
    </font>
    <font>
      <b/>
      <sz val="14"/>
      <color rgb="FFC00000"/>
      <name val="Calibri"/>
      <family val="2"/>
    </font>
    <font>
      <b/>
      <i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FFFFFF"/>
      <name val="Calibri"/>
      <family val="2"/>
    </font>
    <font>
      <sz val="12"/>
      <color theme="0"/>
      <name val="Calibri"/>
      <family val="2"/>
    </font>
    <font>
      <b/>
      <sz val="12"/>
      <color theme="5" tint="-0.249977111117893"/>
      <name val="Calibri"/>
      <family val="2"/>
    </font>
    <font>
      <b/>
      <sz val="12"/>
      <color theme="7" tint="-0.249977111117893"/>
      <name val="Calibri"/>
      <family val="2"/>
    </font>
    <font>
      <b/>
      <sz val="12"/>
      <color theme="3" tint="0.249977111117893"/>
      <name val="Calibri"/>
      <family val="2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i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5" tint="-0.249977111117893"/>
      <name val="Calibri"/>
      <family val="2"/>
    </font>
    <font>
      <i/>
      <sz val="14"/>
      <color rgb="FF000000"/>
      <name val="Calibri"/>
      <family val="2"/>
    </font>
    <font>
      <b/>
      <sz val="14"/>
      <color theme="7" tint="-0.249977111117893"/>
      <name val="Calibri"/>
      <family val="2"/>
    </font>
    <font>
      <sz val="14"/>
      <color theme="0"/>
      <name val="Calibri"/>
      <family val="2"/>
    </font>
    <font>
      <b/>
      <sz val="14"/>
      <color theme="3" tint="0.249977111117893"/>
      <name val="Calibri"/>
      <family val="2"/>
    </font>
    <font>
      <sz val="14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1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B3838"/>
        <bgColor indexed="64"/>
      </patternFill>
    </fill>
    <fill>
      <patternFill patternType="solid">
        <fgColor rgb="FF76717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 style="medium">
        <color indexed="64"/>
      </bottom>
      <diagonal/>
    </border>
    <border>
      <left/>
      <right style="medium">
        <color rgb="FFBFBFBF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indexed="64"/>
      </bottom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1" fillId="5" borderId="1" xfId="0" applyFont="1" applyFill="1" applyBorder="1"/>
    <xf numFmtId="0" fontId="3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1" fillId="4" borderId="8" xfId="0" applyFont="1" applyFill="1" applyBorder="1"/>
    <xf numFmtId="0" fontId="2" fillId="2" borderId="9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2" fillId="0" borderId="17" xfId="0" applyFont="1" applyBorder="1"/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4" fillId="3" borderId="19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center"/>
    </xf>
    <xf numFmtId="0" fontId="8" fillId="3" borderId="16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6" fillId="7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2" fillId="9" borderId="23" xfId="0" applyFont="1" applyFill="1" applyBorder="1" applyAlignment="1">
      <alignment vertical="center" wrapText="1"/>
    </xf>
    <xf numFmtId="0" fontId="10" fillId="8" borderId="20" xfId="0" applyFont="1" applyFill="1" applyBorder="1" applyAlignment="1">
      <alignment vertical="center" wrapText="1"/>
    </xf>
    <xf numFmtId="0" fontId="11" fillId="9" borderId="22" xfId="0" applyFont="1" applyFill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10" fillId="10" borderId="24" xfId="0" applyFont="1" applyFill="1" applyBorder="1" applyAlignment="1">
      <alignment vertical="center" wrapText="1"/>
    </xf>
    <xf numFmtId="0" fontId="12" fillId="10" borderId="25" xfId="0" applyFont="1" applyFill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0" fillId="11" borderId="24" xfId="0" applyFont="1" applyFill="1" applyBorder="1" applyAlignment="1">
      <alignment vertical="center" wrapText="1"/>
    </xf>
    <xf numFmtId="0" fontId="12" fillId="11" borderId="25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3" fillId="4" borderId="25" xfId="0" applyFont="1" applyFill="1" applyBorder="1" applyAlignment="1">
      <alignment vertical="center" wrapText="1"/>
    </xf>
    <xf numFmtId="0" fontId="3" fillId="6" borderId="25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2" fontId="10" fillId="8" borderId="21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0" fontId="5" fillId="0" borderId="28" xfId="0" applyFont="1" applyBorder="1" applyAlignment="1">
      <alignment horizontal="left" vertical="center" wrapText="1"/>
    </xf>
    <xf numFmtId="0" fontId="17" fillId="8" borderId="20" xfId="0" applyFont="1" applyFill="1" applyBorder="1" applyAlignment="1">
      <alignment vertical="center" wrapText="1"/>
    </xf>
    <xf numFmtId="0" fontId="17" fillId="8" borderId="21" xfId="0" applyFont="1" applyFill="1" applyBorder="1" applyAlignment="1">
      <alignment vertical="center" wrapText="1"/>
    </xf>
    <xf numFmtId="0" fontId="5" fillId="0" borderId="0" xfId="0" applyFont="1"/>
    <xf numFmtId="0" fontId="17" fillId="8" borderId="21" xfId="0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vertical="center" wrapText="1"/>
    </xf>
    <xf numFmtId="0" fontId="19" fillId="9" borderId="23" xfId="0" applyFont="1" applyFill="1" applyBorder="1" applyAlignment="1">
      <alignment vertical="center" wrapText="1"/>
    </xf>
    <xf numFmtId="0" fontId="5" fillId="9" borderId="23" xfId="0" applyFont="1" applyFill="1" applyBorder="1" applyAlignment="1">
      <alignment vertical="center" wrapText="1"/>
    </xf>
    <xf numFmtId="0" fontId="20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21" fillId="5" borderId="27" xfId="0" applyFont="1" applyFill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22" fillId="0" borderId="27" xfId="0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1" fillId="5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22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6" borderId="0" xfId="0" applyFont="1" applyFill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4" fillId="0" borderId="0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5" fillId="6" borderId="23" xfId="0" applyFont="1" applyFill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25" fillId="4" borderId="25" xfId="0" applyFont="1" applyFill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6" fillId="6" borderId="25" xfId="0" applyFont="1" applyFill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5" fillId="4" borderId="23" xfId="0" applyFont="1" applyFill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17" fillId="10" borderId="24" xfId="0" applyFont="1" applyFill="1" applyBorder="1" applyAlignment="1">
      <alignment vertical="center" wrapText="1"/>
    </xf>
    <xf numFmtId="0" fontId="27" fillId="10" borderId="25" xfId="0" applyFont="1" applyFill="1" applyBorder="1" applyAlignment="1">
      <alignment vertical="center" wrapText="1"/>
    </xf>
    <xf numFmtId="0" fontId="27" fillId="10" borderId="25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21" fillId="4" borderId="25" xfId="0" applyFont="1" applyFill="1" applyBorder="1" applyAlignment="1">
      <alignment vertical="center" wrapText="1"/>
    </xf>
    <xf numFmtId="0" fontId="17" fillId="11" borderId="24" xfId="0" applyFont="1" applyFill="1" applyBorder="1" applyAlignment="1">
      <alignment vertical="center" wrapText="1"/>
    </xf>
    <xf numFmtId="0" fontId="27" fillId="11" borderId="25" xfId="0" applyFont="1" applyFill="1" applyBorder="1" applyAlignment="1">
      <alignment vertical="center" wrapText="1"/>
    </xf>
    <xf numFmtId="0" fontId="27" fillId="11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MEDITERRANEAN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>
        <c:manualLayout>
          <c:layoutTarget val="inner"/>
          <c:xMode val="edge"/>
          <c:yMode val="edge"/>
          <c:x val="7.1701616759322087E-2"/>
          <c:y val="0.19022330864481241"/>
          <c:w val="0.90341075859570219"/>
          <c:h val="0.674085886894883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A!$S$3:$S$6</c:f>
              <c:numCache>
                <c:formatCode>General</c:formatCode>
                <c:ptCount val="4"/>
                <c:pt idx="0">
                  <c:v>9.0310500000000005</c:v>
                </c:pt>
                <c:pt idx="2">
                  <c:v>28.242999999999999</c:v>
                </c:pt>
                <c:pt idx="3">
                  <c:v>38.893599999999992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8-5748-8BEB-720D78FFAE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A!$T$3:$T$6</c:f>
              <c:numCache>
                <c:formatCode>General</c:formatCode>
                <c:ptCount val="4"/>
                <c:pt idx="0">
                  <c:v>2.1868500000000002</c:v>
                </c:pt>
                <c:pt idx="1">
                  <c:v>1.044</c:v>
                </c:pt>
                <c:pt idx="2">
                  <c:v>0.80520000000000003</c:v>
                </c:pt>
                <c:pt idx="3">
                  <c:v>0.76249999999999984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8-5748-8BEB-720D78FFA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007343"/>
        <c:axId val="813734367"/>
      </c:barChart>
      <c:catAx>
        <c:axId val="81400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3734367"/>
        <c:crosses val="autoZero"/>
        <c:auto val="1"/>
        <c:lblAlgn val="ctr"/>
        <c:lblOffset val="100"/>
        <c:noMultiLvlLbl val="0"/>
      </c:catAx>
      <c:valAx>
        <c:axId val="8137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40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A!$Q$31:$Q$34</c:f>
              <c:numCache>
                <c:formatCode>General</c:formatCode>
                <c:ptCount val="4"/>
                <c:pt idx="0">
                  <c:v>8.9670000000000023</c:v>
                </c:pt>
                <c:pt idx="1">
                  <c:v>1.464</c:v>
                </c:pt>
                <c:pt idx="2">
                  <c:v>5.0508000000000006</c:v>
                </c:pt>
                <c:pt idx="3">
                  <c:v>1.4274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2-624A-871E-12E7A8B5A29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A!$R$31:$R$34</c:f>
              <c:numCache>
                <c:formatCode>General</c:formatCode>
                <c:ptCount val="4"/>
                <c:pt idx="0">
                  <c:v>1.0248000000000002</c:v>
                </c:pt>
                <c:pt idx="1">
                  <c:v>0.42090000000000005</c:v>
                </c:pt>
                <c:pt idx="2">
                  <c:v>0.45140000000000002</c:v>
                </c:pt>
                <c:pt idx="3">
                  <c:v>0.4209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2-624A-871E-12E7A8B5A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256271"/>
        <c:axId val="309955407"/>
      </c:barChart>
      <c:catAx>
        <c:axId val="3052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9955407"/>
        <c:crosses val="autoZero"/>
        <c:auto val="1"/>
        <c:lblAlgn val="ctr"/>
        <c:lblOffset val="100"/>
        <c:noMultiLvlLbl val="0"/>
      </c:catAx>
      <c:valAx>
        <c:axId val="3099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525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A!$Q$43:$Q$45</c:f>
              <c:numCache>
                <c:formatCode>General</c:formatCode>
                <c:ptCount val="3"/>
                <c:pt idx="0">
                  <c:v>10.675000000000002</c:v>
                </c:pt>
                <c:pt idx="1">
                  <c:v>11.830950000000001</c:v>
                </c:pt>
                <c:pt idx="2">
                  <c:v>11.346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7-B74B-A4B8-972E557835E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A!$R$43:$R$45</c:f>
              <c:numCache>
                <c:formatCode>General</c:formatCode>
                <c:ptCount val="3"/>
                <c:pt idx="0">
                  <c:v>1.2444000000000002</c:v>
                </c:pt>
                <c:pt idx="1">
                  <c:v>3.6874500000000001</c:v>
                </c:pt>
                <c:pt idx="2">
                  <c:v>0.58560000000000001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7-B74B-A4B8-972E5578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02511"/>
        <c:axId val="814356975"/>
      </c:barChart>
      <c:catAx>
        <c:axId val="814502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4356975"/>
        <c:crosses val="autoZero"/>
        <c:auto val="1"/>
        <c:lblAlgn val="ctr"/>
        <c:lblOffset val="100"/>
        <c:noMultiLvlLbl val="0"/>
      </c:catAx>
      <c:valAx>
        <c:axId val="81435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450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A!$V$3:$V$6</c:f>
              <c:numCache>
                <c:formatCode>General</c:formatCode>
                <c:ptCount val="4"/>
                <c:pt idx="0">
                  <c:v>0</c:v>
                </c:pt>
                <c:pt idx="1">
                  <c:v>2.4675000000000002</c:v>
                </c:pt>
                <c:pt idx="2">
                  <c:v>38.091450000000002</c:v>
                </c:pt>
                <c:pt idx="3">
                  <c:v>13.359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C-CF42-B2CC-D50FEDED68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A!$W$3:$W$6</c:f>
              <c:numCache>
                <c:formatCode>General</c:formatCode>
                <c:ptCount val="4"/>
                <c:pt idx="0">
                  <c:v>4.1797200000000005</c:v>
                </c:pt>
                <c:pt idx="1">
                  <c:v>1.7385000000000002</c:v>
                </c:pt>
                <c:pt idx="2">
                  <c:v>0.82350000000000012</c:v>
                </c:pt>
                <c:pt idx="3">
                  <c:v>0.70455000000000001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C-CF42-B2CC-D50FEDED6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880335"/>
        <c:axId val="310094495"/>
      </c:barChart>
      <c:catAx>
        <c:axId val="30588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10094495"/>
        <c:crosses val="autoZero"/>
        <c:auto val="1"/>
        <c:lblAlgn val="ctr"/>
        <c:lblOffset val="100"/>
        <c:noMultiLvlLbl val="0"/>
      </c:catAx>
      <c:valAx>
        <c:axId val="3100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588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MEDITERRANEAN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A!$S$3:$S$6</c:f>
              <c:numCache>
                <c:formatCode>General</c:formatCode>
                <c:ptCount val="4"/>
                <c:pt idx="0">
                  <c:v>9.0310500000000005</c:v>
                </c:pt>
                <c:pt idx="2">
                  <c:v>28.242999999999999</c:v>
                </c:pt>
                <c:pt idx="3">
                  <c:v>38.893599999999992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2-124E-A81E-66CE5C8EEC9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A!$T$3:$T$6</c:f>
              <c:numCache>
                <c:formatCode>General</c:formatCode>
                <c:ptCount val="4"/>
                <c:pt idx="0">
                  <c:v>2.1868500000000002</c:v>
                </c:pt>
                <c:pt idx="1">
                  <c:v>1.044</c:v>
                </c:pt>
                <c:pt idx="2">
                  <c:v>0.80520000000000003</c:v>
                </c:pt>
                <c:pt idx="3">
                  <c:v>0.76249999999999984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2-124E-A81E-66CE5C8EE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007343"/>
        <c:axId val="813734367"/>
      </c:barChart>
      <c:catAx>
        <c:axId val="81400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3734367"/>
        <c:crosses val="autoZero"/>
        <c:auto val="1"/>
        <c:lblAlgn val="ctr"/>
        <c:lblOffset val="100"/>
        <c:noMultiLvlLbl val="0"/>
      </c:catAx>
      <c:valAx>
        <c:axId val="8137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40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A!$Q$31:$Q$34</c:f>
              <c:numCache>
                <c:formatCode>General</c:formatCode>
                <c:ptCount val="4"/>
                <c:pt idx="0">
                  <c:v>8.9670000000000023</c:v>
                </c:pt>
                <c:pt idx="1">
                  <c:v>1.464</c:v>
                </c:pt>
                <c:pt idx="2">
                  <c:v>5.0508000000000006</c:v>
                </c:pt>
                <c:pt idx="3">
                  <c:v>1.4274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E-834D-A205-FE60C4C6C6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A!$R$31:$R$34</c:f>
              <c:numCache>
                <c:formatCode>General</c:formatCode>
                <c:ptCount val="4"/>
                <c:pt idx="0">
                  <c:v>1.0248000000000002</c:v>
                </c:pt>
                <c:pt idx="1">
                  <c:v>0.42090000000000005</c:v>
                </c:pt>
                <c:pt idx="2">
                  <c:v>0.45140000000000002</c:v>
                </c:pt>
                <c:pt idx="3">
                  <c:v>0.4209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E-834D-A205-FE60C4C6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256271"/>
        <c:axId val="309955407"/>
      </c:barChart>
      <c:catAx>
        <c:axId val="3052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9955407"/>
        <c:crosses val="autoZero"/>
        <c:auto val="1"/>
        <c:lblAlgn val="ctr"/>
        <c:lblOffset val="100"/>
        <c:noMultiLvlLbl val="0"/>
      </c:catAx>
      <c:valAx>
        <c:axId val="3099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525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A!$Q$43:$Q$45</c:f>
              <c:numCache>
                <c:formatCode>General</c:formatCode>
                <c:ptCount val="3"/>
                <c:pt idx="0">
                  <c:v>10.675000000000002</c:v>
                </c:pt>
                <c:pt idx="1">
                  <c:v>11.830950000000001</c:v>
                </c:pt>
                <c:pt idx="2">
                  <c:v>11.346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2-8F41-BF1A-7959E488102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A!$R$43:$R$45</c:f>
              <c:numCache>
                <c:formatCode>General</c:formatCode>
                <c:ptCount val="3"/>
                <c:pt idx="0">
                  <c:v>1.2444000000000002</c:v>
                </c:pt>
                <c:pt idx="1">
                  <c:v>3.6874500000000001</c:v>
                </c:pt>
                <c:pt idx="2">
                  <c:v>0.58560000000000001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2-8F41-BF1A-7959E4881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02511"/>
        <c:axId val="814356975"/>
      </c:barChart>
      <c:catAx>
        <c:axId val="814502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4356975"/>
        <c:crosses val="autoZero"/>
        <c:auto val="1"/>
        <c:lblAlgn val="ctr"/>
        <c:lblOffset val="100"/>
        <c:noMultiLvlLbl val="0"/>
      </c:catAx>
      <c:valAx>
        <c:axId val="81435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1450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A!$V$3:$V$6</c:f>
              <c:numCache>
                <c:formatCode>General</c:formatCode>
                <c:ptCount val="4"/>
                <c:pt idx="0">
                  <c:v>0</c:v>
                </c:pt>
                <c:pt idx="1">
                  <c:v>2.4675000000000002</c:v>
                </c:pt>
                <c:pt idx="2">
                  <c:v>38.091450000000002</c:v>
                </c:pt>
                <c:pt idx="3">
                  <c:v>13.359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5-8748-8E1C-085F624FF1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A!$W$3:$W$6</c:f>
              <c:numCache>
                <c:formatCode>General</c:formatCode>
                <c:ptCount val="4"/>
                <c:pt idx="0">
                  <c:v>4.1797200000000005</c:v>
                </c:pt>
                <c:pt idx="1">
                  <c:v>1.7385000000000002</c:v>
                </c:pt>
                <c:pt idx="2">
                  <c:v>0.82350000000000012</c:v>
                </c:pt>
                <c:pt idx="3">
                  <c:v>0.70455000000000001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5-8748-8E1C-085F624FF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880335"/>
        <c:axId val="310094495"/>
      </c:barChart>
      <c:catAx>
        <c:axId val="30588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10094495"/>
        <c:crosses val="autoZero"/>
        <c:auto val="1"/>
        <c:lblAlgn val="ctr"/>
        <c:lblOffset val="100"/>
        <c:noMultiLvlLbl val="0"/>
      </c:catAx>
      <c:valAx>
        <c:axId val="3100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588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 w="19050"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plus>
            <c:min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Sheet2!$N$5:$N$10</c:f>
              <c:numCache>
                <c:formatCode>General</c:formatCode>
                <c:ptCount val="6"/>
                <c:pt idx="0">
                  <c:v>1.1000000000000001</c:v>
                </c:pt>
                <c:pt idx="1">
                  <c:v>0.46</c:v>
                </c:pt>
                <c:pt idx="2">
                  <c:v>0.02</c:v>
                </c:pt>
                <c:pt idx="3">
                  <c:v>0.13</c:v>
                </c:pt>
                <c:pt idx="4">
                  <c:v>-0.23</c:v>
                </c:pt>
                <c:pt idx="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6-C94D-BB46-1C527CA35A7A}"/>
            </c:ext>
          </c:extLst>
        </c:ser>
        <c:ser>
          <c:idx val="0"/>
          <c:order val="1"/>
          <c:spPr>
            <a:solidFill>
              <a:srgbClr val="009193"/>
            </a:solidFill>
            <a:ln w="19050"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Sheet2!$I$5:$I$10</c:f>
                <c:numCache>
                  <c:formatCode>General</c:formatCode>
                  <c:ptCount val="6"/>
                  <c:pt idx="0">
                    <c:v>0.38</c:v>
                  </c:pt>
                  <c:pt idx="1">
                    <c:v>0.23</c:v>
                  </c:pt>
                  <c:pt idx="2">
                    <c:v>0.56999999999999995</c:v>
                  </c:pt>
                  <c:pt idx="3">
                    <c:v>0.19</c:v>
                  </c:pt>
                  <c:pt idx="4">
                    <c:v>0.69</c:v>
                  </c:pt>
                  <c:pt idx="5">
                    <c:v>0.67</c:v>
                  </c:pt>
                </c:numCache>
              </c:numRef>
            </c:plus>
            <c:minus>
              <c:numRef>
                <c:f>Sheet2!$I$5:$I$10</c:f>
                <c:numCache>
                  <c:formatCode>General</c:formatCode>
                  <c:ptCount val="6"/>
                  <c:pt idx="0">
                    <c:v>0.38</c:v>
                  </c:pt>
                  <c:pt idx="1">
                    <c:v>0.23</c:v>
                  </c:pt>
                  <c:pt idx="2">
                    <c:v>0.56999999999999995</c:v>
                  </c:pt>
                  <c:pt idx="3">
                    <c:v>0.19</c:v>
                  </c:pt>
                  <c:pt idx="4">
                    <c:v>0.69</c:v>
                  </c:pt>
                  <c:pt idx="5">
                    <c:v>0.67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Sheet2!$H$5:$H$10</c:f>
              <c:numCache>
                <c:formatCode>General</c:formatCode>
                <c:ptCount val="6"/>
                <c:pt idx="0">
                  <c:v>2.95</c:v>
                </c:pt>
                <c:pt idx="1">
                  <c:v>1.06</c:v>
                </c:pt>
                <c:pt idx="2">
                  <c:v>2.6</c:v>
                </c:pt>
                <c:pt idx="3">
                  <c:v>1.02</c:v>
                </c:pt>
                <c:pt idx="4">
                  <c:v>2.19</c:v>
                </c:pt>
                <c:pt idx="5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9-E54C-8E6D-E03BB6CF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731586767"/>
        <c:axId val="1731588495"/>
      </c:barChart>
      <c:catAx>
        <c:axId val="173158676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31588495"/>
        <c:crosses val="autoZero"/>
        <c:auto val="1"/>
        <c:lblAlgn val="ctr"/>
        <c:lblOffset val="100"/>
        <c:noMultiLvlLbl val="0"/>
      </c:catAx>
      <c:valAx>
        <c:axId val="1731588495"/>
        <c:scaling>
          <c:orientation val="minMax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1586767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206796760235663E-2"/>
          <c:y val="3.8105632734842812E-2"/>
          <c:w val="0.96560490376710995"/>
          <c:h val="0.87660347380327919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 w="1587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Sheet2!$X$5:$X$9</c:f>
                <c:numCache>
                  <c:formatCode>General</c:formatCode>
                  <c:ptCount val="5"/>
                  <c:pt idx="0">
                    <c:v>7.0000000000000007E-2</c:v>
                  </c:pt>
                  <c:pt idx="1">
                    <c:v>0.05</c:v>
                  </c:pt>
                  <c:pt idx="2">
                    <c:v>0.1</c:v>
                  </c:pt>
                  <c:pt idx="3">
                    <c:v>0.12</c:v>
                  </c:pt>
                  <c:pt idx="4">
                    <c:v>0.96</c:v>
                  </c:pt>
                </c:numCache>
              </c:numRef>
            </c:plus>
            <c:minus>
              <c:numRef>
                <c:f>Sheet2!$X$5:$X$9</c:f>
                <c:numCache>
                  <c:formatCode>General</c:formatCode>
                  <c:ptCount val="5"/>
                  <c:pt idx="0">
                    <c:v>7.0000000000000007E-2</c:v>
                  </c:pt>
                  <c:pt idx="1">
                    <c:v>0.05</c:v>
                  </c:pt>
                  <c:pt idx="2">
                    <c:v>0.1</c:v>
                  </c:pt>
                  <c:pt idx="3">
                    <c:v>0.12</c:v>
                  </c:pt>
                  <c:pt idx="4">
                    <c:v>0.96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Sheet2!$W$5:$W$9</c:f>
              <c:numCache>
                <c:formatCode>General</c:formatCode>
                <c:ptCount val="5"/>
                <c:pt idx="0">
                  <c:v>0.45</c:v>
                </c:pt>
                <c:pt idx="1">
                  <c:v>0.18</c:v>
                </c:pt>
                <c:pt idx="2">
                  <c:v>-1.9</c:v>
                </c:pt>
                <c:pt idx="3">
                  <c:v>-7.0000000000000007E-2</c:v>
                </c:pt>
                <c:pt idx="4">
                  <c:v>-0.08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A-F949-A2AE-E8F91C80FBFF}"/>
            </c:ext>
          </c:extLst>
        </c:ser>
        <c:ser>
          <c:idx val="0"/>
          <c:order val="1"/>
          <c:spPr>
            <a:solidFill>
              <a:srgbClr val="009193"/>
            </a:solidFill>
            <a:ln w="1587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Sheet2!$I$5:$I$10</c:f>
                <c:numCache>
                  <c:formatCode>General</c:formatCode>
                  <c:ptCount val="6"/>
                  <c:pt idx="0">
                    <c:v>0.38</c:v>
                  </c:pt>
                  <c:pt idx="1">
                    <c:v>0.23</c:v>
                  </c:pt>
                  <c:pt idx="2">
                    <c:v>0.56999999999999995</c:v>
                  </c:pt>
                  <c:pt idx="3">
                    <c:v>0.19</c:v>
                  </c:pt>
                  <c:pt idx="4">
                    <c:v>0.69</c:v>
                  </c:pt>
                  <c:pt idx="5">
                    <c:v>0.67</c:v>
                  </c:pt>
                </c:numCache>
              </c:numRef>
            </c:plus>
            <c:minus>
              <c:numRef>
                <c:f>Sheet2!$I$5:$I$10</c:f>
                <c:numCache>
                  <c:formatCode>General</c:formatCode>
                  <c:ptCount val="6"/>
                  <c:pt idx="0">
                    <c:v>0.38</c:v>
                  </c:pt>
                  <c:pt idx="1">
                    <c:v>0.23</c:v>
                  </c:pt>
                  <c:pt idx="2">
                    <c:v>0.56999999999999995</c:v>
                  </c:pt>
                  <c:pt idx="3">
                    <c:v>0.19</c:v>
                  </c:pt>
                  <c:pt idx="4">
                    <c:v>0.69</c:v>
                  </c:pt>
                  <c:pt idx="5">
                    <c:v>0.67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Sheet2!$T$5:$T$9</c:f>
              <c:numCache>
                <c:formatCode>General</c:formatCode>
                <c:ptCount val="5"/>
                <c:pt idx="0">
                  <c:v>3.14</c:v>
                </c:pt>
                <c:pt idx="1">
                  <c:v>3.1</c:v>
                </c:pt>
                <c:pt idx="3">
                  <c:v>-0.02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A-F949-A2AE-E8F91C80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731586767"/>
        <c:axId val="1731588495"/>
      </c:barChart>
      <c:catAx>
        <c:axId val="173158676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31588495"/>
        <c:crosses val="autoZero"/>
        <c:auto val="1"/>
        <c:lblAlgn val="ctr"/>
        <c:lblOffset val="100"/>
        <c:noMultiLvlLbl val="0"/>
      </c:catAx>
      <c:valAx>
        <c:axId val="1731588495"/>
        <c:scaling>
          <c:orientation val="minMax"/>
          <c:max val="4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1586767"/>
        <c:crossesAt val="1"/>
        <c:crossBetween val="between"/>
        <c:majorUnit val="1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05464306008017E-2"/>
          <c:y val="4.9654386410337301E-2"/>
          <c:w val="0.96560490376710995"/>
          <c:h val="0.8766034738032791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Sheet2!$AI$5:$AI$9</c:f>
                <c:numCache>
                  <c:formatCode>General</c:formatCode>
                  <c:ptCount val="5"/>
                  <c:pt idx="0">
                    <c:v>0.12</c:v>
                  </c:pt>
                  <c:pt idx="1">
                    <c:v>0.02</c:v>
                  </c:pt>
                  <c:pt idx="2">
                    <c:v>0.24</c:v>
                  </c:pt>
                </c:numCache>
              </c:numRef>
            </c:plus>
            <c:minus>
              <c:numRef>
                <c:f>Sheet2!$AI$5:$AI$9</c:f>
                <c:numCache>
                  <c:formatCode>General</c:formatCode>
                  <c:ptCount val="5"/>
                  <c:pt idx="0">
                    <c:v>0.12</c:v>
                  </c:pt>
                  <c:pt idx="1">
                    <c:v>0.02</c:v>
                  </c:pt>
                  <c:pt idx="2">
                    <c:v>0.24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Sheet2!$AH$5:$AH$9</c:f>
              <c:numCache>
                <c:formatCode>General</c:formatCode>
                <c:ptCount val="5"/>
                <c:pt idx="0">
                  <c:v>0.08</c:v>
                </c:pt>
                <c:pt idx="1">
                  <c:v>0.15</c:v>
                </c:pt>
                <c:pt idx="2">
                  <c:v>0.41</c:v>
                </c:pt>
                <c:pt idx="3">
                  <c:v>-0.13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6D-7245-8151-33570F0CCD5D}"/>
            </c:ext>
          </c:extLst>
        </c:ser>
        <c:ser>
          <c:idx val="1"/>
          <c:order val="1"/>
          <c:spPr>
            <a:solidFill>
              <a:srgbClr val="009193"/>
            </a:solidFill>
            <a:ln w="22225"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plus>
            <c:min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Sheet2!$AE$5:$AE$9</c:f>
              <c:numCache>
                <c:formatCode>General</c:formatCode>
                <c:ptCount val="5"/>
                <c:pt idx="0">
                  <c:v>0.93</c:v>
                </c:pt>
                <c:pt idx="1">
                  <c:v>0.88</c:v>
                </c:pt>
                <c:pt idx="2">
                  <c:v>1.47</c:v>
                </c:pt>
                <c:pt idx="3">
                  <c:v>1.49</c:v>
                </c:pt>
                <c:pt idx="4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D-7245-8151-33570F0CC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731586767"/>
        <c:axId val="1731588495"/>
      </c:barChart>
      <c:catAx>
        <c:axId val="173158676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31588495"/>
        <c:crosses val="autoZero"/>
        <c:auto val="1"/>
        <c:lblAlgn val="ctr"/>
        <c:lblOffset val="100"/>
        <c:noMultiLvlLbl val="0"/>
      </c:catAx>
      <c:valAx>
        <c:axId val="1731588495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ES"/>
          </a:p>
        </c:txPr>
        <c:crossAx val="1731586767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rgbClr val="009193"/>
            </a:solidFill>
            <a:ln w="19050"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plus>
            <c:min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Sheet1!$H$5:$H$8</c:f>
              <c:numCache>
                <c:formatCode>0.00</c:formatCode>
                <c:ptCount val="4"/>
                <c:pt idx="0">
                  <c:v>0.70455000000000001</c:v>
                </c:pt>
                <c:pt idx="1">
                  <c:v>0.20968136029972445</c:v>
                </c:pt>
                <c:pt idx="2">
                  <c:v>1.7385000000000002</c:v>
                </c:pt>
                <c:pt idx="3">
                  <c:v>4.1797200000000005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B-0C49-822D-3E78DDA4A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731586767"/>
        <c:axId val="1731588495"/>
      </c:barChart>
      <c:catAx>
        <c:axId val="173158676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31588495"/>
        <c:crosses val="autoZero"/>
        <c:auto val="1"/>
        <c:lblAlgn val="ctr"/>
        <c:lblOffset val="100"/>
        <c:noMultiLvlLbl val="0"/>
      </c:catAx>
      <c:valAx>
        <c:axId val="1731588495"/>
        <c:scaling>
          <c:orientation val="minMax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31586767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206796760235663E-2"/>
          <c:y val="3.8105632734842812E-2"/>
          <c:w val="0.96560490376710995"/>
          <c:h val="0.87660347380327919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 w="1587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Sheet2!$X$5:$X$9</c:f>
                <c:numCache>
                  <c:formatCode>General</c:formatCode>
                  <c:ptCount val="5"/>
                  <c:pt idx="0">
                    <c:v>7.0000000000000007E-2</c:v>
                  </c:pt>
                  <c:pt idx="1">
                    <c:v>0.05</c:v>
                  </c:pt>
                  <c:pt idx="2">
                    <c:v>0.1</c:v>
                  </c:pt>
                  <c:pt idx="3">
                    <c:v>0.12</c:v>
                  </c:pt>
                  <c:pt idx="4">
                    <c:v>0.96</c:v>
                  </c:pt>
                </c:numCache>
              </c:numRef>
            </c:plus>
            <c:minus>
              <c:numRef>
                <c:f>Sheet2!$X$5:$X$9</c:f>
                <c:numCache>
                  <c:formatCode>General</c:formatCode>
                  <c:ptCount val="5"/>
                  <c:pt idx="0">
                    <c:v>7.0000000000000007E-2</c:v>
                  </c:pt>
                  <c:pt idx="1">
                    <c:v>0.05</c:v>
                  </c:pt>
                  <c:pt idx="2">
                    <c:v>0.1</c:v>
                  </c:pt>
                  <c:pt idx="3">
                    <c:v>0.12</c:v>
                  </c:pt>
                  <c:pt idx="4">
                    <c:v>0.96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Sheet2!$W$5:$W$9</c:f>
              <c:numCache>
                <c:formatCode>General</c:formatCode>
                <c:ptCount val="5"/>
                <c:pt idx="0">
                  <c:v>0.45</c:v>
                </c:pt>
                <c:pt idx="1">
                  <c:v>0.18</c:v>
                </c:pt>
                <c:pt idx="2">
                  <c:v>-1.9</c:v>
                </c:pt>
                <c:pt idx="3">
                  <c:v>-7.0000000000000007E-2</c:v>
                </c:pt>
                <c:pt idx="4">
                  <c:v>-0.08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8-4E42-9F4D-06F9C9BD8E51}"/>
            </c:ext>
          </c:extLst>
        </c:ser>
        <c:ser>
          <c:idx val="0"/>
          <c:order val="1"/>
          <c:spPr>
            <a:solidFill>
              <a:srgbClr val="009193"/>
            </a:solidFill>
            <a:ln w="1587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Sheet2!$I$5:$I$10</c:f>
                <c:numCache>
                  <c:formatCode>General</c:formatCode>
                  <c:ptCount val="6"/>
                  <c:pt idx="0">
                    <c:v>0.38</c:v>
                  </c:pt>
                  <c:pt idx="1">
                    <c:v>0.23</c:v>
                  </c:pt>
                  <c:pt idx="2">
                    <c:v>0.56999999999999995</c:v>
                  </c:pt>
                  <c:pt idx="3">
                    <c:v>0.19</c:v>
                  </c:pt>
                  <c:pt idx="4">
                    <c:v>0.69</c:v>
                  </c:pt>
                  <c:pt idx="5">
                    <c:v>0.67</c:v>
                  </c:pt>
                </c:numCache>
              </c:numRef>
            </c:plus>
            <c:minus>
              <c:numRef>
                <c:f>Sheet2!$I$5:$I$10</c:f>
                <c:numCache>
                  <c:formatCode>General</c:formatCode>
                  <c:ptCount val="6"/>
                  <c:pt idx="0">
                    <c:v>0.38</c:v>
                  </c:pt>
                  <c:pt idx="1">
                    <c:v>0.23</c:v>
                  </c:pt>
                  <c:pt idx="2">
                    <c:v>0.56999999999999995</c:v>
                  </c:pt>
                  <c:pt idx="3">
                    <c:v>0.19</c:v>
                  </c:pt>
                  <c:pt idx="4">
                    <c:v>0.69</c:v>
                  </c:pt>
                  <c:pt idx="5">
                    <c:v>0.67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Sheet2!$T$5:$T$9</c:f>
              <c:numCache>
                <c:formatCode>General</c:formatCode>
                <c:ptCount val="5"/>
                <c:pt idx="0">
                  <c:v>3.14</c:v>
                </c:pt>
                <c:pt idx="1">
                  <c:v>3.1</c:v>
                </c:pt>
                <c:pt idx="3">
                  <c:v>-0.02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8-4E42-9F4D-06F9C9BD8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731586767"/>
        <c:axId val="1731588495"/>
      </c:barChart>
      <c:catAx>
        <c:axId val="173158676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31588495"/>
        <c:crosses val="autoZero"/>
        <c:auto val="1"/>
        <c:lblAlgn val="ctr"/>
        <c:lblOffset val="100"/>
        <c:noMultiLvlLbl val="0"/>
      </c:catAx>
      <c:valAx>
        <c:axId val="1731588495"/>
        <c:scaling>
          <c:orientation val="minMax"/>
          <c:max val="4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1586767"/>
        <c:crossesAt val="1"/>
        <c:crossBetween val="between"/>
        <c:majorUnit val="1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05464306008017E-2"/>
          <c:y val="4.9654386410337301E-2"/>
          <c:w val="0.96560490376710995"/>
          <c:h val="0.8766034738032791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Sheet2!$AI$5:$AI$9</c:f>
                <c:numCache>
                  <c:formatCode>General</c:formatCode>
                  <c:ptCount val="5"/>
                  <c:pt idx="0">
                    <c:v>0.12</c:v>
                  </c:pt>
                  <c:pt idx="1">
                    <c:v>0.02</c:v>
                  </c:pt>
                  <c:pt idx="2">
                    <c:v>0.24</c:v>
                  </c:pt>
                </c:numCache>
              </c:numRef>
            </c:plus>
            <c:minus>
              <c:numRef>
                <c:f>Sheet2!$AI$5:$AI$9</c:f>
                <c:numCache>
                  <c:formatCode>General</c:formatCode>
                  <c:ptCount val="5"/>
                  <c:pt idx="0">
                    <c:v>0.12</c:v>
                  </c:pt>
                  <c:pt idx="1">
                    <c:v>0.02</c:v>
                  </c:pt>
                  <c:pt idx="2">
                    <c:v>0.24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Sheet2!$AH$5:$AH$9</c:f>
              <c:numCache>
                <c:formatCode>General</c:formatCode>
                <c:ptCount val="5"/>
                <c:pt idx="0">
                  <c:v>0.08</c:v>
                </c:pt>
                <c:pt idx="1">
                  <c:v>0.15</c:v>
                </c:pt>
                <c:pt idx="2">
                  <c:v>0.41</c:v>
                </c:pt>
                <c:pt idx="3">
                  <c:v>-0.13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3-9343-B86B-C6A66DC2E3DE}"/>
            </c:ext>
          </c:extLst>
        </c:ser>
        <c:ser>
          <c:idx val="1"/>
          <c:order val="1"/>
          <c:spPr>
            <a:solidFill>
              <a:srgbClr val="009193"/>
            </a:solidFill>
            <a:ln w="22225"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plus>
            <c:minus>
              <c:numRef>
                <c:f>Sheet2!$O$5:$O$10</c:f>
                <c:numCache>
                  <c:formatCode>General</c:formatCode>
                  <c:ptCount val="6"/>
                  <c:pt idx="0">
                    <c:v>0.03</c:v>
                  </c:pt>
                  <c:pt idx="1">
                    <c:v>0.16</c:v>
                  </c:pt>
                  <c:pt idx="2">
                    <c:v>0.1</c:v>
                  </c:pt>
                  <c:pt idx="3">
                    <c:v>0.09</c:v>
                  </c:pt>
                  <c:pt idx="4">
                    <c:v>0</c:v>
                  </c:pt>
                  <c:pt idx="5">
                    <c:v>0.06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Sheet2!$AE$5:$AE$9</c:f>
              <c:numCache>
                <c:formatCode>General</c:formatCode>
                <c:ptCount val="5"/>
                <c:pt idx="0">
                  <c:v>0.93</c:v>
                </c:pt>
                <c:pt idx="1">
                  <c:v>0.88</c:v>
                </c:pt>
                <c:pt idx="2">
                  <c:v>1.47</c:v>
                </c:pt>
                <c:pt idx="3">
                  <c:v>1.49</c:v>
                </c:pt>
                <c:pt idx="4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3-9343-B86B-C6A66DC2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731586767"/>
        <c:axId val="1731588495"/>
      </c:barChart>
      <c:catAx>
        <c:axId val="1731586767"/>
        <c:scaling>
          <c:orientation val="minMax"/>
        </c:scaling>
        <c:delete val="1"/>
        <c:axPos val="l"/>
        <c:majorTickMark val="none"/>
        <c:minorTickMark val="none"/>
        <c:tickLblPos val="nextTo"/>
        <c:crossAx val="1731588495"/>
        <c:crosses val="autoZero"/>
        <c:auto val="1"/>
        <c:lblAlgn val="ctr"/>
        <c:lblOffset val="100"/>
        <c:noMultiLvlLbl val="0"/>
      </c:catAx>
      <c:valAx>
        <c:axId val="1731588495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ES"/>
          </a:p>
        </c:txPr>
        <c:crossAx val="1731586767"/>
        <c:crossesAt val="1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Sheet1!$E$5:$E$8</c:f>
              <c:numCache>
                <c:formatCode>0.00</c:formatCode>
                <c:ptCount val="4"/>
                <c:pt idx="0">
                  <c:v>0.1</c:v>
                </c:pt>
                <c:pt idx="1">
                  <c:v>2.4675000000000002</c:v>
                </c:pt>
                <c:pt idx="2">
                  <c:v>2.0789493832737453</c:v>
                </c:pt>
                <c:pt idx="3">
                  <c:v>13.359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E-7042-B163-B0FB3649A61D}"/>
            </c:ext>
          </c:extLst>
        </c:ser>
        <c:ser>
          <c:idx val="1"/>
          <c:order val="1"/>
          <c:tx>
            <c:v>SOC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Sheet1!$H$5:$H$8</c:f>
              <c:numCache>
                <c:formatCode>0.00</c:formatCode>
                <c:ptCount val="4"/>
                <c:pt idx="0">
                  <c:v>0.70455000000000001</c:v>
                </c:pt>
                <c:pt idx="1">
                  <c:v>0.20968136029972445</c:v>
                </c:pt>
                <c:pt idx="2">
                  <c:v>1.7385000000000002</c:v>
                </c:pt>
                <c:pt idx="3">
                  <c:v>4.1797200000000005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8E-7042-B163-B0FB3649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526959"/>
        <c:axId val="285182959"/>
      </c:barChart>
      <c:catAx>
        <c:axId val="3075269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85182959"/>
        <c:crosses val="autoZero"/>
        <c:auto val="1"/>
        <c:lblAlgn val="ctr"/>
        <c:lblOffset val="100"/>
        <c:noMultiLvlLbl val="0"/>
      </c:catAx>
      <c:valAx>
        <c:axId val="28518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30752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184467</xdr:colOff>
      <xdr:row>13</xdr:row>
      <xdr:rowOff>48822</xdr:rowOff>
    </xdr:from>
    <xdr:to>
      <xdr:col>20</xdr:col>
      <xdr:colOff>606962</xdr:colOff>
      <xdr:row>24</xdr:row>
      <xdr:rowOff>158747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CFCFCA-C4BD-0E57-3798-76642514D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751102</xdr:colOff>
      <xdr:row>29</xdr:row>
      <xdr:rowOff>17353</xdr:rowOff>
    </xdr:from>
    <xdr:to>
      <xdr:col>21</xdr:col>
      <xdr:colOff>342019</xdr:colOff>
      <xdr:row>41</xdr:row>
      <xdr:rowOff>44513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8CDBC1-F04F-A254-F8F1-60C1A4994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605367</xdr:colOff>
      <xdr:row>45</xdr:row>
      <xdr:rowOff>84666</xdr:rowOff>
    </xdr:from>
    <xdr:to>
      <xdr:col>21</xdr:col>
      <xdr:colOff>198967</xdr:colOff>
      <xdr:row>57</xdr:row>
      <xdr:rowOff>160866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25E49E-BF74-68B9-6064-60DC6F4E8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224368</xdr:colOff>
      <xdr:row>6</xdr:row>
      <xdr:rowOff>76200</xdr:rowOff>
    </xdr:from>
    <xdr:to>
      <xdr:col>26</xdr:col>
      <xdr:colOff>647701</xdr:colOff>
      <xdr:row>17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1DD405-7DBA-1BB3-8EA8-CD47A039B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260288</xdr:colOff>
      <xdr:row>3</xdr:row>
      <xdr:rowOff>0</xdr:rowOff>
    </xdr:from>
    <xdr:to>
      <xdr:col>11</xdr:col>
      <xdr:colOff>682783</xdr:colOff>
      <xdr:row>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7E0A6-B17A-F64F-BA99-AA816EFCF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751102</xdr:colOff>
      <xdr:row>6</xdr:row>
      <xdr:rowOff>17353</xdr:rowOff>
    </xdr:from>
    <xdr:to>
      <xdr:col>12</xdr:col>
      <xdr:colOff>342019</xdr:colOff>
      <xdr:row>11</xdr:row>
      <xdr:rowOff>44513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965681-237F-ED47-B1B7-1AA40BF8C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605367</xdr:colOff>
      <xdr:row>13</xdr:row>
      <xdr:rowOff>0</xdr:rowOff>
    </xdr:from>
    <xdr:to>
      <xdr:col>12</xdr:col>
      <xdr:colOff>198967</xdr:colOff>
      <xdr:row>18</xdr:row>
      <xdr:rowOff>160866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AEA4B-02EC-BA41-AA1D-B4F748136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224368</xdr:colOff>
      <xdr:row>3</xdr:row>
      <xdr:rowOff>0</xdr:rowOff>
    </xdr:from>
    <xdr:to>
      <xdr:col>17</xdr:col>
      <xdr:colOff>647701</xdr:colOff>
      <xdr:row>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45E813-8626-3345-8360-484F578F4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1220932</xdr:colOff>
      <xdr:row>13</xdr:row>
      <xdr:rowOff>78507</xdr:rowOff>
    </xdr:from>
    <xdr:to>
      <xdr:col>13</xdr:col>
      <xdr:colOff>130464</xdr:colOff>
      <xdr:row>33</xdr:row>
      <xdr:rowOff>129885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C8117B-6216-39BB-A964-60F5D68F3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389659</xdr:colOff>
      <xdr:row>14</xdr:row>
      <xdr:rowOff>173183</xdr:rowOff>
    </xdr:from>
    <xdr:to>
      <xdr:col>25</xdr:col>
      <xdr:colOff>136236</xdr:colOff>
      <xdr:row>36</xdr:row>
      <xdr:rowOff>80243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7C39FC-8AE3-1A49-BAA5-ABC01AACD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158749</xdr:colOff>
      <xdr:row>13</xdr:row>
      <xdr:rowOff>187614</xdr:rowOff>
    </xdr:from>
    <xdr:to>
      <xdr:col>37</xdr:col>
      <xdr:colOff>64076</xdr:colOff>
      <xdr:row>34</xdr:row>
      <xdr:rowOff>36947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99A5EB-7721-B344-AA45-E2A1A48E6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1220932</xdr:colOff>
      <xdr:row>11</xdr:row>
      <xdr:rowOff>78507</xdr:rowOff>
    </xdr:from>
    <xdr:to>
      <xdr:col>9</xdr:col>
      <xdr:colOff>169333</xdr:colOff>
      <xdr:row>31</xdr:row>
      <xdr:rowOff>129885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59CC6-9C68-BE46-AD9F-3BCDB6B91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389659</xdr:colOff>
      <xdr:row>12</xdr:row>
      <xdr:rowOff>173183</xdr:rowOff>
    </xdr:from>
    <xdr:to>
      <xdr:col>18</xdr:col>
      <xdr:colOff>0</xdr:colOff>
      <xdr:row>34</xdr:row>
      <xdr:rowOff>80243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FE83E-5662-FC4F-8483-3C31E1FFC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158749</xdr:colOff>
      <xdr:row>11</xdr:row>
      <xdr:rowOff>187614</xdr:rowOff>
    </xdr:from>
    <xdr:to>
      <xdr:col>27</xdr:col>
      <xdr:colOff>64076</xdr:colOff>
      <xdr:row>32</xdr:row>
      <xdr:rowOff>36947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2A3820-25EB-F14D-BC9E-3718794D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25401</xdr:colOff>
      <xdr:row>14</xdr:row>
      <xdr:rowOff>110067</xdr:rowOff>
    </xdr:from>
    <xdr:to>
      <xdr:col>8</xdr:col>
      <xdr:colOff>736600</xdr:colOff>
      <xdr:row>28</xdr:row>
      <xdr:rowOff>8467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B22D5D-705C-47F0-B0E9-C50B5CF69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8356-C356-F748-A960-0B4B4511235C}">
  <dimension ref="A1:W55"/>
  <sheetViews>
    <sheetView tabSelected="1" topLeftCell="A13" zoomScale="91" zoomScaleNormal="91" workbookViewId="0">
      <selection sqref="A1:A1048576"/>
    </sheetView>
  </sheetViews>
  <sheetFormatPr baseColWidth="10" defaultColWidth="40.1640625" defaultRowHeight="22" customHeight="1"/>
  <cols>
    <col min="1" max="1" width="33.83203125" style="81" customWidth="1"/>
    <col min="2" max="2" width="25.5" style="81" bestFit="1" customWidth="1"/>
    <col min="3" max="3" width="8.5" style="81" bestFit="1" customWidth="1"/>
    <col min="4" max="4" width="10.83203125" style="81" bestFit="1" customWidth="1"/>
    <col min="5" max="5" width="12.6640625" style="81" bestFit="1" customWidth="1"/>
    <col min="6" max="7" width="13.1640625" style="81" bestFit="1" customWidth="1"/>
    <col min="8" max="8" width="16.83203125" style="81" customWidth="1"/>
    <col min="9" max="16384" width="40.1640625" style="81"/>
  </cols>
  <sheetData>
    <row r="1" spans="1:23" ht="22" customHeight="1" thickBot="1">
      <c r="A1" s="79" t="s">
        <v>33</v>
      </c>
      <c r="B1" s="80" t="s">
        <v>34</v>
      </c>
      <c r="D1" s="82" t="s">
        <v>35</v>
      </c>
      <c r="E1" s="82" t="s">
        <v>36</v>
      </c>
      <c r="F1" s="82" t="s">
        <v>12</v>
      </c>
      <c r="G1" s="82" t="s">
        <v>11</v>
      </c>
      <c r="J1" s="82" t="s">
        <v>12</v>
      </c>
      <c r="K1" s="82" t="s">
        <v>11</v>
      </c>
    </row>
    <row r="2" spans="1:23" ht="22" customHeight="1" thickBot="1">
      <c r="A2" s="83" t="s">
        <v>17</v>
      </c>
      <c r="B2" s="84"/>
      <c r="C2" s="85"/>
      <c r="D2" s="85"/>
      <c r="E2" s="85"/>
      <c r="F2" s="84" t="s">
        <v>69</v>
      </c>
      <c r="G2" s="84" t="s">
        <v>69</v>
      </c>
    </row>
    <row r="3" spans="1:23" ht="22" customHeight="1">
      <c r="A3" s="86" t="s">
        <v>37</v>
      </c>
      <c r="B3" s="87" t="s">
        <v>73</v>
      </c>
      <c r="C3" s="88" t="s">
        <v>32</v>
      </c>
      <c r="D3" s="89" t="s">
        <v>42</v>
      </c>
      <c r="E3" s="90" t="s">
        <v>71</v>
      </c>
      <c r="F3" s="91"/>
      <c r="G3" s="91">
        <v>0.9</v>
      </c>
      <c r="I3" s="81">
        <f>G3*3.66</f>
        <v>3.294</v>
      </c>
      <c r="K3" s="81">
        <f>AVERAGE(I3:I10)</f>
        <v>4.1797200000000005</v>
      </c>
      <c r="N3" s="81">
        <v>9.0310500000000005</v>
      </c>
      <c r="O3" s="81">
        <v>2.1868500000000002</v>
      </c>
      <c r="S3" s="81">
        <v>9.0310500000000005</v>
      </c>
      <c r="T3" s="81">
        <v>2.1868500000000002</v>
      </c>
      <c r="V3" s="81">
        <v>0</v>
      </c>
      <c r="W3" s="81">
        <v>4.1797200000000005</v>
      </c>
    </row>
    <row r="4" spans="1:23" ht="22" customHeight="1">
      <c r="A4" s="92"/>
      <c r="B4" s="93" t="s">
        <v>73</v>
      </c>
      <c r="C4" s="94" t="s">
        <v>32</v>
      </c>
      <c r="D4" s="95" t="s">
        <v>42</v>
      </c>
      <c r="E4" s="96" t="s">
        <v>71</v>
      </c>
      <c r="F4" s="97"/>
      <c r="G4" s="97">
        <v>0.54</v>
      </c>
      <c r="I4" s="81">
        <f t="shared" ref="I4:I15" si="0">G4*3.66</f>
        <v>1.9764000000000002</v>
      </c>
      <c r="K4" s="81">
        <f>STDEV(I3:I7)/(5)^0.5</f>
        <v>1.1487036965205606</v>
      </c>
      <c r="T4" s="81">
        <v>1.044</v>
      </c>
      <c r="V4" s="81">
        <v>2.4675000000000002</v>
      </c>
      <c r="W4" s="81">
        <v>1.7385000000000002</v>
      </c>
    </row>
    <row r="5" spans="1:23" ht="22" customHeight="1">
      <c r="A5" s="92"/>
      <c r="B5" s="93" t="s">
        <v>74</v>
      </c>
      <c r="C5" s="94" t="s">
        <v>32</v>
      </c>
      <c r="D5" s="95" t="s">
        <v>42</v>
      </c>
      <c r="E5" s="96" t="s">
        <v>71</v>
      </c>
      <c r="F5" s="97"/>
      <c r="G5" s="97">
        <v>0.49</v>
      </c>
      <c r="I5" s="81">
        <f t="shared" si="0"/>
        <v>1.7934000000000001</v>
      </c>
      <c r="S5" s="81">
        <v>28.242999999999999</v>
      </c>
      <c r="T5" s="81">
        <v>0.80520000000000003</v>
      </c>
      <c r="V5" s="81">
        <v>38.091450000000002</v>
      </c>
      <c r="W5" s="81">
        <v>0.82350000000000012</v>
      </c>
    </row>
    <row r="6" spans="1:23" ht="22" customHeight="1">
      <c r="A6" s="92"/>
      <c r="B6" s="93" t="s">
        <v>73</v>
      </c>
      <c r="C6" s="98" t="s">
        <v>44</v>
      </c>
      <c r="D6" s="95" t="s">
        <v>42</v>
      </c>
      <c r="E6" s="96" t="s">
        <v>71</v>
      </c>
      <c r="F6" s="97"/>
      <c r="G6" s="97">
        <v>1.84</v>
      </c>
      <c r="I6" s="81">
        <f t="shared" si="0"/>
        <v>6.7344000000000008</v>
      </c>
      <c r="S6" s="81">
        <v>38.893599999999992</v>
      </c>
      <c r="T6" s="81">
        <v>0.76249999999999984</v>
      </c>
      <c r="V6" s="81">
        <v>13.359</v>
      </c>
      <c r="W6" s="81">
        <v>0.70455000000000001</v>
      </c>
    </row>
    <row r="7" spans="1:23" ht="22" customHeight="1">
      <c r="A7" s="92"/>
      <c r="B7" s="93" t="s">
        <v>73</v>
      </c>
      <c r="C7" s="98" t="s">
        <v>44</v>
      </c>
      <c r="D7" s="95" t="s">
        <v>42</v>
      </c>
      <c r="E7" s="96" t="s">
        <v>71</v>
      </c>
      <c r="F7" s="97"/>
      <c r="G7" s="97">
        <v>1.94</v>
      </c>
      <c r="I7" s="81">
        <f t="shared" si="0"/>
        <v>7.1004000000000005</v>
      </c>
    </row>
    <row r="8" spans="1:23" ht="22" customHeight="1">
      <c r="A8" s="92"/>
      <c r="B8" s="99" t="s">
        <v>38</v>
      </c>
      <c r="C8" s="94" t="s">
        <v>32</v>
      </c>
      <c r="D8" s="95" t="s">
        <v>35</v>
      </c>
      <c r="E8" s="100" t="s">
        <v>70</v>
      </c>
      <c r="F8" s="97">
        <v>3.71</v>
      </c>
      <c r="G8" s="97"/>
      <c r="H8" s="81">
        <f>AVERAGE(F8:F15)</f>
        <v>2.4675000000000002</v>
      </c>
      <c r="J8" s="81">
        <v>2.4675000000000002</v>
      </c>
      <c r="K8" s="81">
        <f>AVERAGE(I8:I15)</f>
        <v>1.7385000000000002</v>
      </c>
    </row>
    <row r="9" spans="1:23" ht="22" customHeight="1">
      <c r="A9" s="92"/>
      <c r="B9" s="93" t="s">
        <v>40</v>
      </c>
      <c r="C9" s="94" t="s">
        <v>32</v>
      </c>
      <c r="D9" s="95" t="s">
        <v>35</v>
      </c>
      <c r="E9" s="100" t="s">
        <v>70</v>
      </c>
      <c r="F9" s="97">
        <v>2.25</v>
      </c>
      <c r="G9" s="97"/>
      <c r="K9" s="81">
        <f>STDEV(I11:I15)/(4)^0.5</f>
        <v>0.4066005779631896</v>
      </c>
    </row>
    <row r="10" spans="1:23" ht="22" customHeight="1">
      <c r="A10" s="86"/>
      <c r="B10" s="87" t="s">
        <v>46</v>
      </c>
      <c r="C10" s="88" t="s">
        <v>32</v>
      </c>
      <c r="D10" s="89" t="s">
        <v>35</v>
      </c>
      <c r="E10" s="101" t="s">
        <v>70</v>
      </c>
      <c r="F10" s="91">
        <v>1.02</v>
      </c>
      <c r="G10" s="91"/>
    </row>
    <row r="11" spans="1:23" ht="22" customHeight="1">
      <c r="A11" s="92"/>
      <c r="B11" s="93" t="s">
        <v>47</v>
      </c>
      <c r="C11" s="94" t="s">
        <v>32</v>
      </c>
      <c r="D11" s="95" t="s">
        <v>35</v>
      </c>
      <c r="E11" s="100" t="s">
        <v>70</v>
      </c>
      <c r="F11" s="97"/>
      <c r="G11" s="97">
        <v>0.46</v>
      </c>
      <c r="I11" s="81">
        <f t="shared" si="0"/>
        <v>1.6836000000000002</v>
      </c>
      <c r="O11" s="81">
        <v>1.044</v>
      </c>
    </row>
    <row r="12" spans="1:23" ht="22" customHeight="1">
      <c r="A12" s="92"/>
      <c r="B12" s="93" t="s">
        <v>41</v>
      </c>
      <c r="C12" s="94" t="s">
        <v>32</v>
      </c>
      <c r="D12" s="95" t="s">
        <v>42</v>
      </c>
      <c r="E12" s="100" t="s">
        <v>70</v>
      </c>
      <c r="F12" s="97">
        <v>2.89</v>
      </c>
      <c r="G12" s="97"/>
    </row>
    <row r="13" spans="1:23" ht="22" customHeight="1">
      <c r="A13" s="92"/>
      <c r="B13" s="93" t="s">
        <v>43</v>
      </c>
      <c r="C13" s="98" t="s">
        <v>44</v>
      </c>
      <c r="D13" s="95" t="s">
        <v>35</v>
      </c>
      <c r="E13" s="100" t="s">
        <v>70</v>
      </c>
      <c r="F13" s="97"/>
      <c r="G13" s="97">
        <v>0.71</v>
      </c>
      <c r="I13" s="81">
        <f t="shared" si="0"/>
        <v>2.5985999999999998</v>
      </c>
    </row>
    <row r="14" spans="1:23" ht="22" customHeight="1">
      <c r="A14" s="92"/>
      <c r="B14" s="93" t="s">
        <v>45</v>
      </c>
      <c r="C14" s="98" t="s">
        <v>44</v>
      </c>
      <c r="D14" s="95" t="s">
        <v>35</v>
      </c>
      <c r="E14" s="100" t="s">
        <v>70</v>
      </c>
      <c r="F14" s="97"/>
      <c r="G14" s="97">
        <v>0.18</v>
      </c>
      <c r="I14" s="81">
        <f t="shared" si="0"/>
        <v>0.65880000000000005</v>
      </c>
    </row>
    <row r="15" spans="1:23" ht="22" customHeight="1" thickBot="1">
      <c r="A15" s="102"/>
      <c r="B15" s="103" t="s">
        <v>40</v>
      </c>
      <c r="C15" s="104" t="s">
        <v>44</v>
      </c>
      <c r="D15" s="105" t="s">
        <v>35</v>
      </c>
      <c r="E15" s="106" t="s">
        <v>70</v>
      </c>
      <c r="F15" s="107"/>
      <c r="G15" s="107">
        <v>0.55000000000000004</v>
      </c>
      <c r="I15" s="81">
        <f t="shared" si="0"/>
        <v>2.0130000000000003</v>
      </c>
    </row>
    <row r="16" spans="1:23" ht="22" customHeight="1" thickBot="1">
      <c r="A16" s="108" t="s">
        <v>48</v>
      </c>
      <c r="B16" s="109" t="s">
        <v>50</v>
      </c>
      <c r="C16" s="110" t="s">
        <v>32</v>
      </c>
      <c r="D16" s="111" t="s">
        <v>42</v>
      </c>
      <c r="E16" s="112" t="s">
        <v>71</v>
      </c>
      <c r="F16" s="113">
        <v>9.61</v>
      </c>
      <c r="G16" s="113">
        <v>0.28000000000000003</v>
      </c>
      <c r="H16" s="81">
        <f>F16*3.66</f>
        <v>35.172600000000003</v>
      </c>
      <c r="J16" s="81">
        <f>AVERAGE(H17:H24)</f>
        <v>38.508428571428574</v>
      </c>
      <c r="K16" s="81">
        <f>AVERAGE(I17:I24)</f>
        <v>0.82350000000000012</v>
      </c>
      <c r="N16" s="81">
        <v>28.242999999999999</v>
      </c>
      <c r="O16" s="81">
        <v>0.80520000000000003</v>
      </c>
    </row>
    <row r="17" spans="1:18" ht="22" customHeight="1" thickBot="1">
      <c r="A17" s="108"/>
      <c r="B17" s="109" t="s">
        <v>50</v>
      </c>
      <c r="C17" s="110" t="s">
        <v>32</v>
      </c>
      <c r="D17" s="111" t="s">
        <v>42</v>
      </c>
      <c r="E17" s="112" t="s">
        <v>71</v>
      </c>
      <c r="F17" s="113">
        <v>9.89</v>
      </c>
      <c r="G17" s="113">
        <v>0.27</v>
      </c>
      <c r="H17" s="81">
        <f t="shared" ref="H17:H24" si="1">F17*3.66</f>
        <v>36.197400000000002</v>
      </c>
      <c r="I17" s="81">
        <f>G16*3.66</f>
        <v>1.0248000000000002</v>
      </c>
      <c r="J17" s="81">
        <f>STDEV(H17:H24)/(8)^0.5</f>
        <v>2.1998907497224112</v>
      </c>
      <c r="K17" s="81">
        <f>STDEV(I17:I24)/(8)^0.5</f>
        <v>0.20968136029972445</v>
      </c>
    </row>
    <row r="18" spans="1:18" ht="22" customHeight="1" thickBot="1">
      <c r="A18" s="108"/>
      <c r="B18" s="109" t="s">
        <v>75</v>
      </c>
      <c r="C18" s="114" t="s">
        <v>44</v>
      </c>
      <c r="D18" s="111" t="s">
        <v>42</v>
      </c>
      <c r="E18" s="112" t="s">
        <v>71</v>
      </c>
      <c r="F18" s="113">
        <v>7.73</v>
      </c>
      <c r="G18" s="113">
        <v>0.24</v>
      </c>
      <c r="H18" s="81">
        <f t="shared" si="1"/>
        <v>28.291800000000002</v>
      </c>
      <c r="I18" s="81">
        <f>G17*3.66</f>
        <v>0.98820000000000008</v>
      </c>
    </row>
    <row r="19" spans="1:18" ht="22" customHeight="1" thickBot="1">
      <c r="A19" s="108"/>
      <c r="B19" s="109" t="s">
        <v>75</v>
      </c>
      <c r="C19" s="114" t="s">
        <v>44</v>
      </c>
      <c r="D19" s="111" t="s">
        <v>42</v>
      </c>
      <c r="E19" s="112" t="s">
        <v>71</v>
      </c>
      <c r="F19" s="113">
        <v>9.8699999999999992</v>
      </c>
      <c r="G19" s="113">
        <v>0.17</v>
      </c>
      <c r="H19" s="81">
        <f t="shared" si="1"/>
        <v>36.124200000000002</v>
      </c>
      <c r="I19" s="81">
        <f>G18*3.66</f>
        <v>0.87839999999999996</v>
      </c>
    </row>
    <row r="20" spans="1:18" ht="22" customHeight="1" thickBot="1">
      <c r="A20" s="108"/>
      <c r="B20" s="109" t="s">
        <v>75</v>
      </c>
      <c r="C20" s="114" t="s">
        <v>44</v>
      </c>
      <c r="D20" s="111" t="s">
        <v>42</v>
      </c>
      <c r="E20" s="112" t="s">
        <v>71</v>
      </c>
      <c r="F20" s="113">
        <v>10.93</v>
      </c>
      <c r="G20" s="113">
        <v>0.18</v>
      </c>
      <c r="H20" s="81">
        <f t="shared" si="1"/>
        <v>40.003799999999998</v>
      </c>
      <c r="I20" s="81">
        <f>G19*3.66</f>
        <v>0.62220000000000009</v>
      </c>
    </row>
    <row r="21" spans="1:18" ht="22" customHeight="1" thickBot="1">
      <c r="A21" s="108"/>
      <c r="B21" s="109" t="s">
        <v>49</v>
      </c>
      <c r="C21" s="114" t="s">
        <v>44</v>
      </c>
      <c r="D21" s="111" t="s">
        <v>42</v>
      </c>
      <c r="E21" s="112" t="s">
        <v>71</v>
      </c>
      <c r="F21" s="113">
        <v>10.19</v>
      </c>
      <c r="G21" s="113">
        <v>0.56000000000000005</v>
      </c>
      <c r="H21" s="81">
        <f t="shared" si="1"/>
        <v>37.295400000000001</v>
      </c>
      <c r="I21" s="81">
        <f>G20*3.66</f>
        <v>0.65880000000000005</v>
      </c>
    </row>
    <row r="22" spans="1:18" ht="22" customHeight="1" thickBot="1">
      <c r="A22" s="108"/>
      <c r="B22" s="109" t="s">
        <v>49</v>
      </c>
      <c r="C22" s="114" t="s">
        <v>44</v>
      </c>
      <c r="D22" s="111" t="s">
        <v>42</v>
      </c>
      <c r="E22" s="112" t="s">
        <v>71</v>
      </c>
      <c r="F22" s="113">
        <v>12.04</v>
      </c>
      <c r="G22" s="113">
        <v>0.05</v>
      </c>
      <c r="H22" s="81">
        <f t="shared" si="1"/>
        <v>44.066400000000002</v>
      </c>
      <c r="I22" s="81">
        <f>G21*3.66</f>
        <v>2.0496000000000003</v>
      </c>
    </row>
    <row r="23" spans="1:18" ht="22" customHeight="1" thickBot="1">
      <c r="A23" s="108"/>
      <c r="B23" s="109" t="s">
        <v>49</v>
      </c>
      <c r="C23" s="114" t="s">
        <v>44</v>
      </c>
      <c r="D23" s="111" t="s">
        <v>42</v>
      </c>
      <c r="E23" s="112" t="s">
        <v>71</v>
      </c>
      <c r="F23" s="113">
        <v>13</v>
      </c>
      <c r="G23" s="113">
        <v>0.05</v>
      </c>
      <c r="H23" s="81">
        <f t="shared" si="1"/>
        <v>47.58</v>
      </c>
      <c r="I23" s="81">
        <f>G22*3.66</f>
        <v>0.18300000000000002</v>
      </c>
      <c r="N23" s="81">
        <v>38.893599999999992</v>
      </c>
      <c r="O23" s="81">
        <v>0.76249999999999984</v>
      </c>
    </row>
    <row r="24" spans="1:18" ht="22" customHeight="1" thickBot="1">
      <c r="A24" s="108"/>
      <c r="B24" s="109" t="s">
        <v>51</v>
      </c>
      <c r="C24" s="110" t="s">
        <v>32</v>
      </c>
      <c r="D24" s="111" t="s">
        <v>35</v>
      </c>
      <c r="E24" s="115" t="s">
        <v>70</v>
      </c>
      <c r="F24" s="113"/>
      <c r="G24" s="113">
        <v>0.16</v>
      </c>
      <c r="I24" s="81">
        <f>G23*3.66</f>
        <v>0.18300000000000002</v>
      </c>
    </row>
    <row r="25" spans="1:18" ht="22" customHeight="1" thickBot="1">
      <c r="A25" s="108"/>
      <c r="B25" s="109" t="s">
        <v>52</v>
      </c>
      <c r="C25" s="110" t="s">
        <v>32</v>
      </c>
      <c r="D25" s="111" t="s">
        <v>35</v>
      </c>
      <c r="E25" s="115" t="s">
        <v>70</v>
      </c>
      <c r="F25" s="113"/>
      <c r="G25" s="113">
        <v>0.03</v>
      </c>
      <c r="I25" s="81">
        <f>G24*3.66</f>
        <v>0.58560000000000001</v>
      </c>
      <c r="J25" s="81">
        <f>AVERAGE(H25:H29)</f>
        <v>13.359</v>
      </c>
      <c r="K25" s="81">
        <f>AVERAGE(I25:I29)</f>
        <v>0.70455000000000001</v>
      </c>
    </row>
    <row r="26" spans="1:18" ht="22" customHeight="1" thickBot="1">
      <c r="A26" s="108"/>
      <c r="B26" s="109" t="s">
        <v>51</v>
      </c>
      <c r="C26" s="110" t="s">
        <v>32</v>
      </c>
      <c r="D26" s="111" t="s">
        <v>35</v>
      </c>
      <c r="E26" s="115" t="s">
        <v>70</v>
      </c>
      <c r="F26" s="113"/>
      <c r="G26" s="113">
        <v>0.15</v>
      </c>
      <c r="I26" s="81">
        <f>G25*3.66</f>
        <v>0.10979999999999999</v>
      </c>
      <c r="K26" s="81">
        <f>STDEV(I25:I28)/(4)^0.5</f>
        <v>0.30925556179315516</v>
      </c>
    </row>
    <row r="27" spans="1:18" ht="22" customHeight="1" thickBot="1">
      <c r="A27" s="108"/>
      <c r="B27" s="109" t="s">
        <v>52</v>
      </c>
      <c r="C27" s="110" t="s">
        <v>32</v>
      </c>
      <c r="D27" s="111" t="s">
        <v>35</v>
      </c>
      <c r="E27" s="115" t="s">
        <v>70</v>
      </c>
      <c r="F27" s="113"/>
      <c r="G27" s="113">
        <v>0.43</v>
      </c>
      <c r="I27" s="81">
        <f>G26*3.66</f>
        <v>0.54900000000000004</v>
      </c>
    </row>
    <row r="28" spans="1:18" ht="22" customHeight="1" thickBot="1">
      <c r="A28" s="108"/>
      <c r="B28" s="103" t="s">
        <v>52</v>
      </c>
      <c r="C28" s="116" t="s">
        <v>32</v>
      </c>
      <c r="D28" s="105" t="s">
        <v>35</v>
      </c>
      <c r="E28" s="117" t="s">
        <v>70</v>
      </c>
      <c r="F28" s="107">
        <v>3.65</v>
      </c>
      <c r="G28" s="107"/>
      <c r="I28" s="81">
        <f>G27*3.66</f>
        <v>1.5738000000000001</v>
      </c>
    </row>
    <row r="29" spans="1:18" ht="22" customHeight="1" thickBot="1">
      <c r="A29" s="102"/>
      <c r="H29" s="81">
        <f>F28*3.66</f>
        <v>13.359</v>
      </c>
    </row>
    <row r="30" spans="1:18" ht="22" customHeight="1" thickBot="1">
      <c r="A30" s="118" t="s">
        <v>14</v>
      </c>
      <c r="B30" s="119"/>
      <c r="C30" s="119"/>
      <c r="D30" s="119"/>
      <c r="E30" s="119"/>
      <c r="F30" s="120"/>
      <c r="G30" s="120"/>
    </row>
    <row r="31" spans="1:18" ht="22" customHeight="1" thickBot="1">
      <c r="A31" s="121" t="s">
        <v>37</v>
      </c>
      <c r="B31" s="111"/>
      <c r="C31" s="110" t="s">
        <v>32</v>
      </c>
      <c r="D31" s="111"/>
      <c r="E31" s="111" t="s">
        <v>39</v>
      </c>
      <c r="F31" s="113">
        <v>1.62</v>
      </c>
      <c r="G31" s="113">
        <v>0.2</v>
      </c>
      <c r="H31" s="81">
        <f t="shared" ref="H4:I54" si="2">F31*3.66</f>
        <v>5.9292000000000007</v>
      </c>
      <c r="I31" s="81">
        <f t="shared" si="2"/>
        <v>0.7320000000000001</v>
      </c>
      <c r="J31" s="81">
        <f>AVERAGE(H31:H34)</f>
        <v>8.9670000000000023</v>
      </c>
      <c r="K31" s="81">
        <f>AVERAGE(I31:I34)</f>
        <v>1.0248000000000002</v>
      </c>
      <c r="N31" s="81">
        <v>8.9670000000000023</v>
      </c>
      <c r="O31" s="81">
        <v>1.0248000000000002</v>
      </c>
      <c r="Q31" s="81">
        <v>8.9670000000000023</v>
      </c>
      <c r="R31" s="81">
        <v>1.0248000000000002</v>
      </c>
    </row>
    <row r="32" spans="1:18" ht="22" customHeight="1" thickBot="1">
      <c r="A32" s="121"/>
      <c r="B32" s="111"/>
      <c r="C32" s="110" t="s">
        <v>32</v>
      </c>
      <c r="D32" s="111"/>
      <c r="E32" s="111" t="s">
        <v>3</v>
      </c>
      <c r="F32" s="113">
        <v>1.28</v>
      </c>
      <c r="G32" s="113">
        <v>0.36</v>
      </c>
      <c r="H32" s="81">
        <f t="shared" si="2"/>
        <v>4.6848000000000001</v>
      </c>
      <c r="I32" s="81">
        <f t="shared" si="2"/>
        <v>1.3176000000000001</v>
      </c>
      <c r="J32" s="81">
        <f>STDEV(H31:H34)/(4)^0.5</f>
        <v>2.4053190308148298</v>
      </c>
      <c r="K32" s="81">
        <f>STDEV(I31:I34)/(4)^0.5</f>
        <v>0.20704086553142112</v>
      </c>
      <c r="Q32" s="81">
        <v>1.464</v>
      </c>
      <c r="R32" s="81">
        <v>0.42090000000000005</v>
      </c>
    </row>
    <row r="33" spans="1:18" ht="22" customHeight="1" thickBot="1">
      <c r="A33" s="121"/>
      <c r="B33" s="109" t="s">
        <v>55</v>
      </c>
      <c r="C33" s="110" t="s">
        <v>32</v>
      </c>
      <c r="D33" s="111"/>
      <c r="E33" s="111" t="s">
        <v>39</v>
      </c>
      <c r="F33" s="113">
        <v>4.2</v>
      </c>
      <c r="G33" s="113"/>
      <c r="H33" s="81">
        <f t="shared" si="2"/>
        <v>15.372000000000002</v>
      </c>
      <c r="Q33" s="81">
        <v>5.0508000000000006</v>
      </c>
      <c r="R33" s="81">
        <v>0.45140000000000002</v>
      </c>
    </row>
    <row r="34" spans="1:18" ht="22" customHeight="1" thickBot="1">
      <c r="A34" s="121"/>
      <c r="B34" s="109" t="s">
        <v>56</v>
      </c>
      <c r="C34" s="110" t="s">
        <v>32</v>
      </c>
      <c r="D34" s="111"/>
      <c r="E34" s="111" t="s">
        <v>3</v>
      </c>
      <c r="F34" s="113">
        <v>2.7</v>
      </c>
      <c r="G34" s="113"/>
      <c r="H34" s="81">
        <f t="shared" si="2"/>
        <v>9.8820000000000014</v>
      </c>
      <c r="Q34" s="81">
        <v>1.4274</v>
      </c>
      <c r="R34" s="81">
        <v>0.4209</v>
      </c>
    </row>
    <row r="35" spans="1:18" ht="22" customHeight="1" thickBot="1">
      <c r="A35" s="108"/>
      <c r="B35" s="109" t="s">
        <v>54</v>
      </c>
      <c r="C35" s="114" t="s">
        <v>44</v>
      </c>
      <c r="D35" s="111"/>
      <c r="E35" s="111" t="s">
        <v>39</v>
      </c>
      <c r="F35" s="113">
        <v>0.69</v>
      </c>
      <c r="G35" s="113">
        <v>0.13</v>
      </c>
      <c r="H35" s="81">
        <f t="shared" si="2"/>
        <v>2.5253999999999999</v>
      </c>
      <c r="I35" s="81">
        <f t="shared" si="2"/>
        <v>0.47580000000000006</v>
      </c>
      <c r="J35" s="81">
        <f>AVERAGE(H35:H36)</f>
        <v>1.464</v>
      </c>
      <c r="K35" s="81">
        <f>AVERAGE(I35:I36)</f>
        <v>0.42090000000000005</v>
      </c>
      <c r="N35" s="81">
        <v>1.464</v>
      </c>
      <c r="O35" s="81">
        <v>0.42090000000000005</v>
      </c>
    </row>
    <row r="36" spans="1:18" ht="22" customHeight="1" thickBot="1">
      <c r="A36" s="108"/>
      <c r="B36" s="109" t="s">
        <v>76</v>
      </c>
      <c r="C36" s="114" t="s">
        <v>44</v>
      </c>
      <c r="D36" s="111"/>
      <c r="E36" s="111" t="s">
        <v>3</v>
      </c>
      <c r="F36" s="113">
        <v>0.11</v>
      </c>
      <c r="G36" s="113">
        <v>0.1</v>
      </c>
      <c r="H36" s="81">
        <f t="shared" si="2"/>
        <v>0.40260000000000001</v>
      </c>
      <c r="I36" s="81">
        <f t="shared" si="2"/>
        <v>0.36600000000000005</v>
      </c>
      <c r="J36" s="81">
        <f>STDEV(H35:H36)/(2)^0.5</f>
        <v>1.0613999999999999</v>
      </c>
      <c r="K36" s="81">
        <f>STDEV(I35:I36)/(2)^0.5</f>
        <v>5.4900000000000101E-2</v>
      </c>
    </row>
    <row r="37" spans="1:18" ht="22" customHeight="1" thickBot="1">
      <c r="A37" s="108" t="s">
        <v>57</v>
      </c>
      <c r="B37" s="109" t="s">
        <v>54</v>
      </c>
      <c r="C37" s="122" t="s">
        <v>32</v>
      </c>
      <c r="D37" s="111"/>
      <c r="E37" s="111" t="s">
        <v>39</v>
      </c>
      <c r="F37" s="113">
        <v>1.26</v>
      </c>
      <c r="G37" s="113">
        <v>0.13</v>
      </c>
      <c r="H37" s="81">
        <f t="shared" si="2"/>
        <v>4.6116000000000001</v>
      </c>
      <c r="I37" s="81">
        <f t="shared" si="2"/>
        <v>0.47580000000000006</v>
      </c>
      <c r="J37" s="81">
        <f>AVERAGE(H37:H39)</f>
        <v>5.0508000000000006</v>
      </c>
      <c r="K37" s="81">
        <f>AVERAGE(I37:I39)</f>
        <v>0.45140000000000002</v>
      </c>
      <c r="N37" s="81">
        <v>5.0508000000000006</v>
      </c>
      <c r="O37" s="81">
        <v>0.45140000000000002</v>
      </c>
    </row>
    <row r="38" spans="1:18" ht="22" customHeight="1" thickBot="1">
      <c r="A38" s="108"/>
      <c r="B38" s="109" t="s">
        <v>58</v>
      </c>
      <c r="C38" s="122" t="s">
        <v>32</v>
      </c>
      <c r="D38" s="111"/>
      <c r="E38" s="111" t="s">
        <v>3</v>
      </c>
      <c r="F38" s="113">
        <v>1.5</v>
      </c>
      <c r="G38" s="113">
        <v>0.22</v>
      </c>
      <c r="H38" s="81">
        <f t="shared" si="2"/>
        <v>5.49</v>
      </c>
      <c r="I38" s="81">
        <f t="shared" si="2"/>
        <v>0.80520000000000003</v>
      </c>
      <c r="J38" s="81">
        <f>STDEV(H37:H39)/(3)^0.5</f>
        <v>0.35860529834345733</v>
      </c>
      <c r="K38" s="81">
        <f>STDEV(I37:I39)/(3)^0.5</f>
        <v>0.2116620891893492</v>
      </c>
    </row>
    <row r="39" spans="1:18" ht="22" customHeight="1" thickBot="1">
      <c r="A39" s="108"/>
      <c r="B39" s="109" t="s">
        <v>55</v>
      </c>
      <c r="C39" s="122" t="s">
        <v>32</v>
      </c>
      <c r="D39" s="111"/>
      <c r="E39" s="111" t="s">
        <v>39</v>
      </c>
      <c r="F39" s="113"/>
      <c r="G39" s="113">
        <v>0.02</v>
      </c>
      <c r="I39" s="81">
        <f t="shared" si="2"/>
        <v>7.3200000000000001E-2</v>
      </c>
    </row>
    <row r="40" spans="1:18" ht="22" customHeight="1" thickBot="1">
      <c r="A40" s="108"/>
      <c r="B40" s="109" t="s">
        <v>54</v>
      </c>
      <c r="C40" s="114" t="s">
        <v>44</v>
      </c>
      <c r="D40" s="111"/>
      <c r="E40" s="111" t="s">
        <v>39</v>
      </c>
      <c r="F40" s="113">
        <v>0.65</v>
      </c>
      <c r="G40" s="113">
        <v>0.11</v>
      </c>
      <c r="H40" s="81">
        <f t="shared" si="2"/>
        <v>2.379</v>
      </c>
      <c r="I40" s="81">
        <f t="shared" si="2"/>
        <v>0.40260000000000001</v>
      </c>
      <c r="J40" s="81">
        <f>AVERAGE(H40:H41)</f>
        <v>1.4274</v>
      </c>
      <c r="K40" s="81">
        <f>AVERAGE(I40:I41)</f>
        <v>0.4209</v>
      </c>
      <c r="N40" s="81">
        <v>1.4274</v>
      </c>
      <c r="O40" s="81">
        <v>0.4209</v>
      </c>
    </row>
    <row r="41" spans="1:18" ht="22" customHeight="1" thickBot="1">
      <c r="A41" s="108"/>
      <c r="B41" s="109" t="s">
        <v>58</v>
      </c>
      <c r="C41" s="114" t="s">
        <v>44</v>
      </c>
      <c r="D41" s="111"/>
      <c r="E41" s="111" t="s">
        <v>3</v>
      </c>
      <c r="F41" s="113">
        <v>0.13</v>
      </c>
      <c r="G41" s="113">
        <v>0.12</v>
      </c>
      <c r="H41" s="81">
        <f t="shared" si="2"/>
        <v>0.47580000000000006</v>
      </c>
      <c r="I41" s="81">
        <f t="shared" si="2"/>
        <v>0.43919999999999998</v>
      </c>
      <c r="J41" s="81">
        <f>STDEV(H40:H41)/(2)^0.5</f>
        <v>0.95159999999999978</v>
      </c>
      <c r="K41" s="81">
        <f>STDEV(I40:I41)/(2)^0.5</f>
        <v>1.8299999999999983E-2</v>
      </c>
    </row>
    <row r="43" spans="1:18" ht="22" customHeight="1" thickBot="1">
      <c r="A43" s="123" t="s">
        <v>15</v>
      </c>
      <c r="B43" s="124"/>
      <c r="C43" s="124"/>
      <c r="D43" s="124"/>
      <c r="E43" s="124"/>
      <c r="F43" s="125"/>
      <c r="G43" s="125"/>
      <c r="Q43" s="81">
        <v>10.675000000000002</v>
      </c>
      <c r="R43" s="81">
        <v>1.2444000000000002</v>
      </c>
    </row>
    <row r="44" spans="1:18" ht="22" customHeight="1" thickBot="1">
      <c r="A44" s="121" t="s">
        <v>37</v>
      </c>
      <c r="B44" s="111" t="s">
        <v>64</v>
      </c>
      <c r="C44" s="110" t="s">
        <v>32</v>
      </c>
      <c r="D44" s="111"/>
      <c r="E44" s="111" t="s">
        <v>61</v>
      </c>
      <c r="F44" s="113">
        <v>2.5</v>
      </c>
      <c r="G44" s="113"/>
      <c r="H44" s="81">
        <f>F44*3.66</f>
        <v>9.15</v>
      </c>
      <c r="J44" s="81">
        <f>AVERAGE(H44:H47)</f>
        <v>10.675000000000002</v>
      </c>
      <c r="K44" s="81">
        <f>AVERAGE(I44:I47)</f>
        <v>1.2444000000000002</v>
      </c>
      <c r="N44" s="81">
        <v>10.675000000000002</v>
      </c>
      <c r="O44" s="81">
        <v>1.2444000000000002</v>
      </c>
      <c r="Q44" s="81">
        <v>11.830950000000001</v>
      </c>
      <c r="R44" s="81">
        <v>3.6874500000000001</v>
      </c>
    </row>
    <row r="45" spans="1:18" ht="22" customHeight="1" thickBot="1">
      <c r="A45" s="121"/>
      <c r="B45" s="111" t="s">
        <v>65</v>
      </c>
      <c r="C45" s="110" t="s">
        <v>32</v>
      </c>
      <c r="D45" s="111"/>
      <c r="E45" s="111" t="s">
        <v>39</v>
      </c>
      <c r="F45" s="113">
        <v>2.35</v>
      </c>
      <c r="G45" s="113"/>
      <c r="H45" s="81">
        <f>F45*3.66</f>
        <v>8.6010000000000009</v>
      </c>
      <c r="J45" s="81">
        <f>STDEV(H44:H46)/(3)^0.5</f>
        <v>1.8064653331852183</v>
      </c>
      <c r="K45" s="81">
        <v>0</v>
      </c>
      <c r="Q45" s="81">
        <v>11.346</v>
      </c>
      <c r="R45" s="81">
        <v>0.58560000000000001</v>
      </c>
    </row>
    <row r="46" spans="1:18" ht="22" customHeight="1" thickBot="1">
      <c r="A46" s="121"/>
      <c r="B46" s="111" t="s">
        <v>65</v>
      </c>
      <c r="C46" s="110" t="s">
        <v>32</v>
      </c>
      <c r="D46" s="111"/>
      <c r="E46" s="111" t="s">
        <v>39</v>
      </c>
      <c r="F46" s="113">
        <v>3.9</v>
      </c>
      <c r="G46" s="113"/>
      <c r="H46" s="81">
        <f>F46*3.66</f>
        <v>14.274000000000001</v>
      </c>
    </row>
    <row r="47" spans="1:18" ht="22" customHeight="1" thickBot="1">
      <c r="A47" s="121"/>
      <c r="B47" s="111" t="s">
        <v>66</v>
      </c>
      <c r="C47" s="110" t="s">
        <v>32</v>
      </c>
      <c r="D47" s="111"/>
      <c r="E47" s="111" t="s">
        <v>39</v>
      </c>
      <c r="F47" s="113"/>
      <c r="G47" s="113">
        <v>0.34</v>
      </c>
      <c r="I47" s="81">
        <f>G47*3.66</f>
        <v>1.2444000000000002</v>
      </c>
    </row>
    <row r="48" spans="1:18" ht="22" customHeight="1" thickBot="1">
      <c r="A48" s="121"/>
      <c r="B48" s="111" t="s">
        <v>59</v>
      </c>
      <c r="C48" s="114" t="s">
        <v>44</v>
      </c>
      <c r="D48" s="111"/>
      <c r="E48" s="111" t="s">
        <v>39</v>
      </c>
      <c r="F48" s="113">
        <v>1.75</v>
      </c>
      <c r="G48" s="113">
        <v>0.23</v>
      </c>
      <c r="H48" s="81">
        <f>F48*3.66</f>
        <v>6.4050000000000002</v>
      </c>
      <c r="I48" s="81">
        <f>G48*3.66</f>
        <v>0.8418000000000001</v>
      </c>
      <c r="J48" s="81">
        <f>AVERAGE(H48:H51)</f>
        <v>11.830950000000001</v>
      </c>
      <c r="K48" s="81">
        <f>AVERAGE(I48:I51)</f>
        <v>3.6874500000000001</v>
      </c>
      <c r="N48" s="81">
        <v>11.830950000000001</v>
      </c>
      <c r="O48" s="81">
        <v>3.6874500000000001</v>
      </c>
    </row>
    <row r="49" spans="1:15" ht="22" customHeight="1" thickBot="1">
      <c r="A49" s="121"/>
      <c r="B49" s="111" t="s">
        <v>60</v>
      </c>
      <c r="C49" s="114" t="s">
        <v>44</v>
      </c>
      <c r="D49" s="111"/>
      <c r="E49" s="111" t="s">
        <v>61</v>
      </c>
      <c r="F49" s="113">
        <v>1.7</v>
      </c>
      <c r="G49" s="113">
        <v>0.6</v>
      </c>
      <c r="H49" s="81">
        <f>F49*3.66</f>
        <v>6.2220000000000004</v>
      </c>
      <c r="I49" s="81">
        <f>G49*3.66</f>
        <v>2.1960000000000002</v>
      </c>
      <c r="J49" s="81">
        <f>STDEV(H48:H51)/(4)^0.5</f>
        <v>3.230813907129285</v>
      </c>
      <c r="K49" s="81">
        <f>STDEV(I48:I51)/(4)^0.5</f>
        <v>1.2908420129899711</v>
      </c>
    </row>
    <row r="50" spans="1:15" ht="22" customHeight="1" thickBot="1">
      <c r="A50" s="121"/>
      <c r="B50" s="111" t="s">
        <v>62</v>
      </c>
      <c r="C50" s="114" t="s">
        <v>44</v>
      </c>
      <c r="D50" s="111"/>
      <c r="E50" s="111" t="s">
        <v>61</v>
      </c>
      <c r="F50" s="113">
        <v>4.38</v>
      </c>
      <c r="G50" s="113">
        <v>1.7</v>
      </c>
      <c r="H50" s="81">
        <f>F50*3.66</f>
        <v>16.030799999999999</v>
      </c>
      <c r="I50" s="81">
        <f>G50*3.66</f>
        <v>6.2220000000000004</v>
      </c>
    </row>
    <row r="51" spans="1:15" ht="22" customHeight="1" thickBot="1">
      <c r="A51" s="121"/>
      <c r="B51" s="111" t="s">
        <v>63</v>
      </c>
      <c r="C51" s="114" t="s">
        <v>44</v>
      </c>
      <c r="D51" s="111"/>
      <c r="E51" s="111" t="s">
        <v>39</v>
      </c>
      <c r="F51" s="113">
        <v>5.0999999999999996</v>
      </c>
      <c r="G51" s="113">
        <v>1.5</v>
      </c>
      <c r="H51" s="81">
        <f>F51*3.66</f>
        <v>18.666</v>
      </c>
      <c r="I51" s="81">
        <f>G51*3.66</f>
        <v>5.49</v>
      </c>
    </row>
    <row r="52" spans="1:15" ht="22" customHeight="1" thickBot="1">
      <c r="A52" s="121" t="s">
        <v>57</v>
      </c>
      <c r="B52" s="111" t="s">
        <v>55</v>
      </c>
      <c r="C52" s="110" t="s">
        <v>32</v>
      </c>
      <c r="D52" s="111"/>
      <c r="E52" s="111" t="s">
        <v>39</v>
      </c>
      <c r="F52" s="113">
        <v>2.75</v>
      </c>
      <c r="G52" s="113">
        <v>0.28999999999999998</v>
      </c>
      <c r="H52" s="81">
        <f>F52*3.66</f>
        <v>10.065000000000001</v>
      </c>
      <c r="I52" s="81">
        <f>G52*3.66</f>
        <v>1.0613999999999999</v>
      </c>
      <c r="J52" s="81">
        <f>AVERAGE(H52:H55)</f>
        <v>11.346</v>
      </c>
      <c r="K52" s="81">
        <f>AVERAGE(I52:I55)</f>
        <v>0.58560000000000001</v>
      </c>
      <c r="N52" s="81">
        <v>11.346</v>
      </c>
      <c r="O52" s="81">
        <v>0.58560000000000001</v>
      </c>
    </row>
    <row r="53" spans="1:15" ht="22" customHeight="1" thickBot="1">
      <c r="A53" s="121"/>
      <c r="B53" s="111" t="s">
        <v>67</v>
      </c>
      <c r="C53" s="110" t="s">
        <v>32</v>
      </c>
      <c r="D53" s="111"/>
      <c r="E53" s="111" t="s">
        <v>39</v>
      </c>
      <c r="F53" s="113"/>
      <c r="G53" s="113">
        <v>0.25</v>
      </c>
      <c r="I53" s="81">
        <f>G53*3.66</f>
        <v>0.91500000000000004</v>
      </c>
      <c r="J53" s="81">
        <f>STDEV(H52:H55)/(4)^0.5</f>
        <v>0.90580378669996853</v>
      </c>
      <c r="K53" s="81">
        <f>STDEV(I52:I55)/(4)^0.5</f>
        <v>0.24597451087460259</v>
      </c>
    </row>
    <row r="54" spans="1:15" ht="22" customHeight="1" thickBot="1">
      <c r="A54" s="121"/>
      <c r="B54" s="111" t="s">
        <v>68</v>
      </c>
      <c r="C54" s="110" t="s">
        <v>32</v>
      </c>
      <c r="D54" s="111"/>
      <c r="E54" s="111" t="s">
        <v>39</v>
      </c>
      <c r="F54" s="113"/>
      <c r="G54" s="113">
        <v>0.1</v>
      </c>
      <c r="I54" s="81">
        <f>G54*3.66</f>
        <v>0.36600000000000005</v>
      </c>
    </row>
    <row r="55" spans="1:15" ht="22" customHeight="1" thickBot="1">
      <c r="A55" s="121"/>
      <c r="B55" s="111" t="s">
        <v>63</v>
      </c>
      <c r="C55" s="110" t="s">
        <v>32</v>
      </c>
      <c r="D55" s="111"/>
      <c r="E55" s="111" t="s">
        <v>39</v>
      </c>
      <c r="F55" s="113">
        <v>3.45</v>
      </c>
      <c r="G55" s="113">
        <v>0</v>
      </c>
      <c r="H55" s="81">
        <f>F55*3.66</f>
        <v>12.627000000000001</v>
      </c>
      <c r="I55" s="81">
        <f>G55*3.66</f>
        <v>0</v>
      </c>
    </row>
  </sheetData>
  <sortState xmlns:xlrd2="http://schemas.microsoft.com/office/spreadsheetml/2017/richdata2" ref="B16:G29">
    <sortCondition ref="E16:E2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3AEE-D731-0D49-B453-14B501927C60}">
  <dimension ref="A1:N23"/>
  <sheetViews>
    <sheetView workbookViewId="0">
      <selection activeCell="C20" sqref="C20:F23"/>
    </sheetView>
  </sheetViews>
  <sheetFormatPr baseColWidth="10" defaultRowHeight="16"/>
  <cols>
    <col min="1" max="1" width="21.5" style="4" bestFit="1" customWidth="1"/>
    <col min="2" max="2" width="13.83203125" style="4" customWidth="1"/>
    <col min="3" max="4" width="10.83203125" style="77"/>
    <col min="5" max="16384" width="10.83203125" style="4"/>
  </cols>
  <sheetData>
    <row r="1" spans="1:14" ht="18" thickBot="1">
      <c r="A1" s="59" t="s">
        <v>33</v>
      </c>
      <c r="C1" s="76" t="s">
        <v>12</v>
      </c>
      <c r="D1" s="76" t="s">
        <v>11</v>
      </c>
      <c r="E1" s="76" t="s">
        <v>12</v>
      </c>
      <c r="F1" s="76" t="s">
        <v>11</v>
      </c>
    </row>
    <row r="2" spans="1:14" ht="20" customHeight="1" thickBot="1">
      <c r="A2" s="60" t="s">
        <v>17</v>
      </c>
      <c r="B2" s="58"/>
    </row>
    <row r="3" spans="1:14" ht="20" customHeight="1">
      <c r="A3" s="62" t="s">
        <v>37</v>
      </c>
      <c r="B3" s="72" t="s">
        <v>71</v>
      </c>
      <c r="D3" s="77">
        <v>4.1797200000000005</v>
      </c>
      <c r="F3" s="77">
        <v>1.1487036965205606</v>
      </c>
      <c r="J3" s="4">
        <v>9.0310500000000005</v>
      </c>
      <c r="K3" s="4">
        <v>2.1868500000000002</v>
      </c>
      <c r="M3" s="4">
        <v>0</v>
      </c>
      <c r="N3" s="4">
        <v>4.1797200000000005</v>
      </c>
    </row>
    <row r="4" spans="1:14" ht="20" customHeight="1">
      <c r="A4" s="68"/>
      <c r="B4" s="73" t="s">
        <v>70</v>
      </c>
      <c r="C4" s="77">
        <v>2.4675000000000002</v>
      </c>
      <c r="D4" s="77">
        <v>1.7385000000000002</v>
      </c>
      <c r="F4" s="77">
        <v>0.4066005779631896</v>
      </c>
    </row>
    <row r="5" spans="1:14" ht="18" thickBot="1">
      <c r="A5" s="61" t="s">
        <v>48</v>
      </c>
      <c r="B5" s="74" t="s">
        <v>71</v>
      </c>
      <c r="C5" s="77">
        <v>2.0789493832737453</v>
      </c>
      <c r="D5" s="77">
        <v>0.20968136029972445</v>
      </c>
    </row>
    <row r="6" spans="1:14" ht="18" thickBot="1">
      <c r="A6" s="61"/>
      <c r="B6" s="75" t="s">
        <v>70</v>
      </c>
      <c r="C6" s="77">
        <v>13.359</v>
      </c>
      <c r="D6" s="77">
        <v>0.70455000000000001</v>
      </c>
      <c r="F6" s="77">
        <v>0.30925556179315516</v>
      </c>
    </row>
    <row r="7" spans="1:14" ht="18" thickBot="1">
      <c r="A7" s="63" t="s">
        <v>14</v>
      </c>
      <c r="B7" s="64"/>
    </row>
    <row r="8" spans="1:14" ht="18" thickBot="1">
      <c r="A8" s="65" t="s">
        <v>37</v>
      </c>
      <c r="B8" s="69" t="s">
        <v>32</v>
      </c>
      <c r="C8" s="77">
        <v>8.9670000000000023</v>
      </c>
      <c r="D8" s="77">
        <v>1.0248000000000002</v>
      </c>
      <c r="E8" s="77">
        <v>2.4053190308148298</v>
      </c>
      <c r="F8" s="77">
        <v>0.20704086553142112</v>
      </c>
      <c r="H8" s="4">
        <v>8.9670000000000023</v>
      </c>
      <c r="I8" s="4">
        <v>1.0248000000000002</v>
      </c>
    </row>
    <row r="9" spans="1:14" ht="18" thickBot="1">
      <c r="A9" s="61"/>
      <c r="B9" s="70" t="s">
        <v>44</v>
      </c>
      <c r="C9" s="77">
        <v>1.464</v>
      </c>
      <c r="D9" s="77">
        <v>0.42090000000000005</v>
      </c>
      <c r="E9" s="77">
        <v>1.0613999999999999</v>
      </c>
      <c r="F9" s="77">
        <v>5.4900000000000101E-2</v>
      </c>
    </row>
    <row r="10" spans="1:14" ht="18" thickBot="1">
      <c r="A10" s="61" t="s">
        <v>57</v>
      </c>
      <c r="B10" s="71" t="s">
        <v>32</v>
      </c>
      <c r="C10" s="77">
        <v>5.0508000000000006</v>
      </c>
      <c r="D10" s="77">
        <v>0.45140000000000002</v>
      </c>
      <c r="E10" s="77">
        <v>0.35860529834345733</v>
      </c>
      <c r="F10" s="77">
        <v>0.2116620891893492</v>
      </c>
    </row>
    <row r="11" spans="1:14" ht="18" thickBot="1">
      <c r="A11" s="61"/>
      <c r="B11" s="70" t="s">
        <v>44</v>
      </c>
      <c r="C11" s="77">
        <v>1.4274</v>
      </c>
      <c r="D11" s="77">
        <v>0.4209</v>
      </c>
      <c r="E11" s="77">
        <v>0.95159999999999978</v>
      </c>
      <c r="F11" s="77">
        <v>1.8299999999999983E-2</v>
      </c>
    </row>
    <row r="12" spans="1:14" ht="18" thickBot="1">
      <c r="A12" s="66" t="s">
        <v>15</v>
      </c>
      <c r="B12" s="67"/>
    </row>
    <row r="13" spans="1:14" ht="21" customHeight="1" thickBot="1">
      <c r="A13" s="65" t="s">
        <v>37</v>
      </c>
      <c r="B13" s="69" t="s">
        <v>32</v>
      </c>
      <c r="C13" s="77">
        <v>10.675000000000002</v>
      </c>
      <c r="D13" s="77">
        <v>1.2444000000000002</v>
      </c>
      <c r="E13" s="77">
        <v>1.8064653331852183</v>
      </c>
      <c r="F13" s="77">
        <v>0</v>
      </c>
      <c r="H13" s="4">
        <v>10.675000000000002</v>
      </c>
      <c r="I13" s="4">
        <v>1.2444000000000002</v>
      </c>
    </row>
    <row r="14" spans="1:14" ht="18" customHeight="1" thickBot="1">
      <c r="A14" s="65"/>
      <c r="B14" s="70" t="s">
        <v>44</v>
      </c>
      <c r="C14" s="77">
        <v>11.830950000000001</v>
      </c>
      <c r="D14" s="77">
        <v>3.6874500000000001</v>
      </c>
      <c r="E14" s="77">
        <v>3.230813907129285</v>
      </c>
      <c r="F14" s="77">
        <v>1.2908420129899711</v>
      </c>
    </row>
    <row r="15" spans="1:14" ht="18" thickBot="1">
      <c r="A15" s="65" t="s">
        <v>57</v>
      </c>
      <c r="B15" s="69" t="s">
        <v>32</v>
      </c>
      <c r="C15" s="77">
        <v>11.346</v>
      </c>
      <c r="D15" s="77">
        <v>0.58560000000000001</v>
      </c>
      <c r="E15" s="77">
        <v>0.90580378669996853</v>
      </c>
      <c r="F15" s="77">
        <v>0.24597451087460259</v>
      </c>
    </row>
    <row r="20" spans="3:6">
      <c r="C20" s="77">
        <v>8.9670000000000023</v>
      </c>
      <c r="D20" s="77">
        <v>2.4053190308148298</v>
      </c>
      <c r="E20" s="77">
        <v>1.0248000000000002</v>
      </c>
      <c r="F20" s="77">
        <v>0.20704086553142112</v>
      </c>
    </row>
    <row r="21" spans="3:6">
      <c r="C21" s="77">
        <v>1.464</v>
      </c>
      <c r="D21" s="77">
        <v>1.0613999999999999</v>
      </c>
      <c r="E21" s="77">
        <v>0.42090000000000005</v>
      </c>
      <c r="F21" s="77">
        <v>5.4900000000000101E-2</v>
      </c>
    </row>
    <row r="22" spans="3:6">
      <c r="C22" s="77">
        <v>5.0508000000000006</v>
      </c>
      <c r="D22" s="77">
        <v>0.35860529834345733</v>
      </c>
      <c r="E22" s="77">
        <v>0.45140000000000002</v>
      </c>
      <c r="F22" s="77">
        <v>0.2116620891893492</v>
      </c>
    </row>
    <row r="23" spans="3:6">
      <c r="C23" s="77">
        <v>1.4274</v>
      </c>
      <c r="D23" s="77">
        <v>0.95159999999999978</v>
      </c>
      <c r="E23" s="77">
        <v>0.4209</v>
      </c>
      <c r="F23" s="77">
        <v>1.8299999999999983E-2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06FB-4D0F-9B47-812D-4041999BE627}">
  <dimension ref="B3:AK13"/>
  <sheetViews>
    <sheetView zoomScale="88" zoomScaleNormal="88" workbookViewId="0">
      <selection sqref="A1:XFD1048576"/>
    </sheetView>
  </sheetViews>
  <sheetFormatPr baseColWidth="10" defaultRowHeight="16"/>
  <cols>
    <col min="1" max="1" width="10.83203125" style="4"/>
    <col min="2" max="2" width="26.6640625" style="4" customWidth="1"/>
    <col min="3" max="3" width="11.83203125" style="4" customWidth="1"/>
    <col min="4" max="4" width="14.5" style="4" customWidth="1"/>
    <col min="5" max="7" width="10.83203125" style="4"/>
    <col min="8" max="9" width="13.83203125" style="4" bestFit="1" customWidth="1"/>
    <col min="10" max="10" width="13.83203125" style="4" customWidth="1"/>
    <col min="11" max="17" width="10.83203125" style="4"/>
    <col min="18" max="18" width="27.5" style="4" customWidth="1"/>
    <col min="19" max="19" width="23.6640625" style="4" customWidth="1"/>
    <col min="20" max="27" width="10.83203125" style="4"/>
    <col min="28" max="28" width="32.1640625" style="4" customWidth="1"/>
    <col min="29" max="29" width="27.6640625" style="49" customWidth="1"/>
    <col min="30" max="16384" width="10.83203125" style="4"/>
  </cols>
  <sheetData>
    <row r="3" spans="2:37" ht="17" thickBot="1"/>
    <row r="4" spans="2:37">
      <c r="B4" s="30" t="s">
        <v>17</v>
      </c>
      <c r="C4" s="31"/>
      <c r="D4" s="31"/>
      <c r="E4" s="32" t="s">
        <v>12</v>
      </c>
      <c r="F4" s="32" t="s">
        <v>9</v>
      </c>
      <c r="G4" s="32" t="s">
        <v>10</v>
      </c>
      <c r="H4" s="32" t="s">
        <v>25</v>
      </c>
      <c r="I4" s="32" t="s">
        <v>26</v>
      </c>
      <c r="J4" s="32" t="s">
        <v>27</v>
      </c>
      <c r="K4" s="32" t="s">
        <v>11</v>
      </c>
      <c r="L4" s="32" t="s">
        <v>9</v>
      </c>
      <c r="M4" s="32" t="s">
        <v>10</v>
      </c>
      <c r="N4" s="32" t="s">
        <v>25</v>
      </c>
      <c r="O4" s="32" t="s">
        <v>26</v>
      </c>
      <c r="P4" s="33" t="s">
        <v>27</v>
      </c>
      <c r="R4" s="5" t="s">
        <v>15</v>
      </c>
      <c r="S4" s="1"/>
      <c r="T4" s="2" t="s">
        <v>12</v>
      </c>
      <c r="U4" s="3" t="s">
        <v>9</v>
      </c>
      <c r="V4" s="3" t="s">
        <v>10</v>
      </c>
      <c r="W4" s="2" t="s">
        <v>11</v>
      </c>
      <c r="X4" s="3" t="s">
        <v>9</v>
      </c>
      <c r="Y4" s="3" t="s">
        <v>10</v>
      </c>
      <c r="Z4" s="3" t="s">
        <v>13</v>
      </c>
      <c r="AB4" s="6" t="s">
        <v>14</v>
      </c>
      <c r="AC4" s="50"/>
      <c r="AD4" s="1"/>
      <c r="AE4" s="2" t="s">
        <v>12</v>
      </c>
      <c r="AF4" s="3" t="s">
        <v>26</v>
      </c>
      <c r="AG4" s="3" t="s">
        <v>10</v>
      </c>
      <c r="AH4" s="2" t="s">
        <v>11</v>
      </c>
      <c r="AI4" s="3" t="s">
        <v>26</v>
      </c>
      <c r="AJ4" s="3" t="s">
        <v>10</v>
      </c>
      <c r="AK4" s="3" t="s">
        <v>13</v>
      </c>
    </row>
    <row r="5" spans="2:37" ht="20">
      <c r="B5" s="34" t="s">
        <v>0</v>
      </c>
      <c r="C5" s="8" t="s">
        <v>1</v>
      </c>
      <c r="D5" s="8" t="s">
        <v>16</v>
      </c>
      <c r="E5" s="7">
        <v>0</v>
      </c>
      <c r="F5" s="7"/>
      <c r="G5" s="7"/>
      <c r="H5" s="51">
        <v>2.95</v>
      </c>
      <c r="I5" s="51">
        <v>0.38</v>
      </c>
      <c r="J5" s="9">
        <v>10</v>
      </c>
      <c r="K5" s="7">
        <v>1.68</v>
      </c>
      <c r="L5" s="10">
        <v>0.36499999999999999</v>
      </c>
      <c r="M5" s="10">
        <v>2.25</v>
      </c>
      <c r="N5" s="52">
        <v>1.1000000000000001</v>
      </c>
      <c r="O5" s="52">
        <v>0.03</v>
      </c>
      <c r="P5" s="43">
        <v>15</v>
      </c>
      <c r="R5" s="11" t="s">
        <v>0</v>
      </c>
      <c r="S5" s="8" t="s">
        <v>1</v>
      </c>
      <c r="T5" s="7">
        <v>3.14</v>
      </c>
      <c r="U5" s="7">
        <v>0.23</v>
      </c>
      <c r="V5" s="7"/>
      <c r="W5" s="9">
        <v>0.45</v>
      </c>
      <c r="X5" s="10">
        <v>7.0000000000000007E-2</v>
      </c>
      <c r="Y5" s="10"/>
      <c r="Z5" s="7"/>
      <c r="AB5" s="11" t="s">
        <v>0</v>
      </c>
      <c r="AC5" s="8" t="s">
        <v>1</v>
      </c>
      <c r="AD5" s="8" t="s">
        <v>16</v>
      </c>
      <c r="AE5" s="9">
        <v>0.93</v>
      </c>
      <c r="AF5" s="7">
        <v>0.33</v>
      </c>
      <c r="AG5" s="7"/>
      <c r="AH5" s="9">
        <v>0.08</v>
      </c>
      <c r="AI5" s="10">
        <v>0.12</v>
      </c>
      <c r="AJ5" s="10"/>
      <c r="AK5" s="7"/>
    </row>
    <row r="6" spans="2:37" ht="21" customHeight="1">
      <c r="B6" s="34"/>
      <c r="C6" s="8" t="s">
        <v>4</v>
      </c>
      <c r="D6" s="8" t="s">
        <v>2</v>
      </c>
      <c r="E6" s="7">
        <v>4.4000000000000004</v>
      </c>
      <c r="F6" s="12">
        <v>0.2</v>
      </c>
      <c r="G6" s="12">
        <v>14.1</v>
      </c>
      <c r="H6" s="51">
        <v>1.06</v>
      </c>
      <c r="I6" s="51">
        <v>0.23</v>
      </c>
      <c r="J6" s="14">
        <v>52</v>
      </c>
      <c r="K6" s="12">
        <v>0.46</v>
      </c>
      <c r="L6" s="15"/>
      <c r="M6" s="16"/>
      <c r="N6" s="57">
        <v>0.46</v>
      </c>
      <c r="O6" s="57">
        <v>0.16</v>
      </c>
      <c r="P6" s="44">
        <v>17</v>
      </c>
      <c r="R6" s="11"/>
      <c r="S6" s="13" t="s">
        <v>4</v>
      </c>
      <c r="T6" s="14">
        <v>3.1</v>
      </c>
      <c r="U6" s="12">
        <v>0.21</v>
      </c>
      <c r="V6" s="12"/>
      <c r="W6" s="14">
        <v>0.18</v>
      </c>
      <c r="X6" s="15">
        <v>0.05</v>
      </c>
      <c r="Y6" s="16"/>
      <c r="Z6" s="12"/>
      <c r="AB6" s="11"/>
      <c r="AC6" s="13" t="s">
        <v>4</v>
      </c>
      <c r="AD6" s="13" t="s">
        <v>2</v>
      </c>
      <c r="AE6" s="14">
        <v>0.88</v>
      </c>
      <c r="AF6" s="12">
        <v>0.3</v>
      </c>
      <c r="AG6" s="12"/>
      <c r="AH6" s="14">
        <v>0.15</v>
      </c>
      <c r="AI6" s="15">
        <v>0.02</v>
      </c>
      <c r="AJ6" s="16"/>
      <c r="AK6" s="12"/>
    </row>
    <row r="7" spans="2:37" ht="22" customHeight="1">
      <c r="B7" s="35" t="s">
        <v>5</v>
      </c>
      <c r="C7" s="10"/>
      <c r="D7" s="17" t="s">
        <v>2</v>
      </c>
      <c r="E7" s="10">
        <v>3.17</v>
      </c>
      <c r="F7" s="7">
        <v>0.56999999999999995</v>
      </c>
      <c r="G7" s="7">
        <v>9.98</v>
      </c>
      <c r="H7" s="52">
        <v>2.6</v>
      </c>
      <c r="I7" s="52">
        <v>0.56999999999999995</v>
      </c>
      <c r="J7" s="18">
        <v>19</v>
      </c>
      <c r="K7" s="10">
        <v>1.6E-2</v>
      </c>
      <c r="L7" s="10">
        <v>0</v>
      </c>
      <c r="M7" s="10">
        <v>0.28000000000000003</v>
      </c>
      <c r="N7" s="52">
        <v>0.02</v>
      </c>
      <c r="O7" s="52">
        <v>0.1</v>
      </c>
      <c r="P7" s="45">
        <v>8</v>
      </c>
      <c r="R7" s="19" t="s">
        <v>21</v>
      </c>
      <c r="S7" s="17" t="s">
        <v>29</v>
      </c>
      <c r="T7" s="18"/>
      <c r="U7" s="7"/>
      <c r="V7" s="7"/>
      <c r="W7" s="18">
        <v>-1.9</v>
      </c>
      <c r="X7" s="10">
        <v>0.1</v>
      </c>
      <c r="Y7" s="10"/>
      <c r="Z7" s="10"/>
      <c r="AB7" s="19" t="s">
        <v>18</v>
      </c>
      <c r="AC7" s="49" t="s">
        <v>28</v>
      </c>
      <c r="AE7" s="48">
        <v>1.47</v>
      </c>
      <c r="AF7" s="47">
        <v>1.4</v>
      </c>
      <c r="AH7" s="48">
        <v>0.41</v>
      </c>
      <c r="AI7" s="47">
        <v>0.24</v>
      </c>
      <c r="AJ7" s="10"/>
      <c r="AK7" s="10"/>
    </row>
    <row r="8" spans="2:37" ht="21" thickBot="1">
      <c r="B8" s="34" t="s">
        <v>6</v>
      </c>
      <c r="C8" s="7"/>
      <c r="D8" s="8" t="s">
        <v>3</v>
      </c>
      <c r="E8" s="7">
        <v>1.01</v>
      </c>
      <c r="F8" s="7">
        <v>0.39</v>
      </c>
      <c r="G8" s="7">
        <v>1.64</v>
      </c>
      <c r="H8" s="51">
        <v>1.02</v>
      </c>
      <c r="I8" s="51">
        <v>0.19</v>
      </c>
      <c r="J8" s="9">
        <v>5</v>
      </c>
      <c r="K8" s="7">
        <v>0.46</v>
      </c>
      <c r="L8" s="29">
        <v>0.3</v>
      </c>
      <c r="M8" s="29">
        <v>0.62</v>
      </c>
      <c r="N8" s="54">
        <v>0.13</v>
      </c>
      <c r="O8" s="54">
        <v>0.09</v>
      </c>
      <c r="P8" s="43">
        <v>2</v>
      </c>
      <c r="R8" s="24" t="s">
        <v>30</v>
      </c>
      <c r="S8" s="21"/>
      <c r="T8" s="22">
        <v>-0.02</v>
      </c>
      <c r="U8" s="20">
        <v>0.05</v>
      </c>
      <c r="V8" s="20"/>
      <c r="W8" s="22">
        <v>-7.0000000000000007E-2</v>
      </c>
      <c r="X8" s="23">
        <v>0.12</v>
      </c>
      <c r="Y8" s="23"/>
      <c r="Z8" s="20"/>
      <c r="AC8" s="21" t="s">
        <v>19</v>
      </c>
      <c r="AD8" s="17"/>
      <c r="AE8" s="18">
        <v>1.49</v>
      </c>
      <c r="AF8" s="7">
        <v>0.33</v>
      </c>
      <c r="AG8" s="7"/>
      <c r="AH8" s="18">
        <v>-0.13</v>
      </c>
      <c r="AI8" s="10"/>
      <c r="AJ8" s="23"/>
      <c r="AK8" s="20"/>
    </row>
    <row r="9" spans="2:37" ht="21" thickBot="1">
      <c r="B9" s="34" t="s">
        <v>7</v>
      </c>
      <c r="C9" s="7"/>
      <c r="D9" s="8" t="s">
        <v>3</v>
      </c>
      <c r="E9" s="7">
        <v>2.1800000000000002</v>
      </c>
      <c r="F9" s="7">
        <v>0.84</v>
      </c>
      <c r="G9" s="7">
        <v>3.08</v>
      </c>
      <c r="H9" s="51">
        <v>2.19</v>
      </c>
      <c r="I9" s="51">
        <v>0.69</v>
      </c>
      <c r="J9" s="9">
        <v>3</v>
      </c>
      <c r="K9" s="7">
        <v>0.23</v>
      </c>
      <c r="L9" s="23">
        <v>0.22</v>
      </c>
      <c r="M9" s="23">
        <v>0.23</v>
      </c>
      <c r="N9" s="55">
        <v>-0.23</v>
      </c>
      <c r="O9" s="55">
        <v>0</v>
      </c>
      <c r="P9" s="43">
        <v>2</v>
      </c>
      <c r="R9" s="11" t="s">
        <v>22</v>
      </c>
      <c r="S9" s="8" t="s">
        <v>23</v>
      </c>
      <c r="T9" s="25"/>
      <c r="U9" s="25"/>
      <c r="V9" s="25"/>
      <c r="W9" s="27">
        <v>-0.08</v>
      </c>
      <c r="X9" s="23">
        <v>0.96</v>
      </c>
      <c r="Y9" s="23"/>
      <c r="Z9" s="25"/>
      <c r="AB9" s="28" t="s">
        <v>20</v>
      </c>
      <c r="AC9" s="26"/>
      <c r="AD9" s="26" t="s">
        <v>16</v>
      </c>
      <c r="AE9" s="27">
        <v>0.86</v>
      </c>
      <c r="AF9" s="25">
        <v>0.16</v>
      </c>
      <c r="AG9" s="25"/>
      <c r="AH9" s="27"/>
      <c r="AI9" s="23"/>
      <c r="AJ9" s="23"/>
      <c r="AK9" s="25"/>
    </row>
    <row r="10" spans="2:37" ht="21" thickBot="1">
      <c r="B10" s="39" t="s">
        <v>8</v>
      </c>
      <c r="C10" s="37"/>
      <c r="D10" s="37"/>
      <c r="E10" s="37">
        <v>2.2999999999999998</v>
      </c>
      <c r="F10" s="37">
        <v>0.09</v>
      </c>
      <c r="G10" s="37">
        <v>7.29</v>
      </c>
      <c r="H10" s="53">
        <v>2.97</v>
      </c>
      <c r="I10" s="53">
        <v>0.67</v>
      </c>
      <c r="J10" s="42">
        <v>16</v>
      </c>
      <c r="K10" s="37">
        <v>0.18</v>
      </c>
      <c r="L10" s="38">
        <v>0.04</v>
      </c>
      <c r="M10" s="38">
        <v>0.46</v>
      </c>
      <c r="N10" s="56">
        <v>0.19</v>
      </c>
      <c r="O10" s="56">
        <v>0.06</v>
      </c>
      <c r="P10" s="46">
        <v>7</v>
      </c>
      <c r="R10" s="11"/>
      <c r="S10" s="8"/>
      <c r="T10" s="9"/>
      <c r="U10" s="7"/>
      <c r="V10" s="7"/>
      <c r="W10" s="9"/>
      <c r="X10" s="29"/>
      <c r="Y10" s="29"/>
      <c r="Z10" s="7"/>
      <c r="AB10" s="11"/>
      <c r="AC10" s="8"/>
      <c r="AD10" s="8"/>
      <c r="AE10" s="9"/>
      <c r="AF10" s="7"/>
      <c r="AG10" s="7"/>
      <c r="AH10" s="9"/>
      <c r="AI10" s="29"/>
      <c r="AJ10" s="29"/>
      <c r="AK10" s="7"/>
    </row>
    <row r="11" spans="2:37" ht="20" thickBot="1">
      <c r="T11" s="9"/>
      <c r="U11" s="7"/>
      <c r="V11" s="7"/>
      <c r="W11" s="9"/>
      <c r="X11" s="23"/>
      <c r="Y11" s="23"/>
      <c r="Z11" s="7"/>
      <c r="AB11" s="11"/>
      <c r="AC11" s="8"/>
      <c r="AD11" s="8"/>
      <c r="AE11" s="9"/>
      <c r="AF11" s="7"/>
      <c r="AG11" s="7"/>
      <c r="AH11" s="9"/>
      <c r="AI11" s="23"/>
      <c r="AJ11" s="23"/>
      <c r="AK11" s="7"/>
    </row>
    <row r="12" spans="2:37" ht="22" thickBot="1">
      <c r="B12" s="41" t="s">
        <v>24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40">
        <f>SUM(P5:P10)</f>
        <v>51</v>
      </c>
      <c r="R12" s="11"/>
      <c r="S12" s="8"/>
      <c r="T12" s="9"/>
      <c r="U12" s="7"/>
      <c r="V12" s="7"/>
      <c r="W12" s="9"/>
      <c r="X12" s="29"/>
      <c r="Y12" s="29"/>
      <c r="Z12" s="7"/>
      <c r="AB12" s="11"/>
      <c r="AC12" s="8"/>
      <c r="AD12" s="8"/>
      <c r="AE12" s="9"/>
      <c r="AF12" s="7"/>
      <c r="AG12" s="7"/>
      <c r="AH12" s="9"/>
      <c r="AI12" s="29"/>
      <c r="AJ12" s="29"/>
      <c r="AK12" s="7"/>
    </row>
    <row r="13" spans="2:37" ht="20" thickBot="1">
      <c r="R13" s="11"/>
      <c r="S13" s="7"/>
      <c r="T13" s="9"/>
      <c r="U13" s="7"/>
      <c r="V13" s="7"/>
      <c r="W13" s="9"/>
      <c r="X13" s="23"/>
      <c r="Y13" s="23"/>
      <c r="Z13" s="7"/>
      <c r="AB13" s="11"/>
      <c r="AC13" s="8"/>
      <c r="AD13" s="7"/>
      <c r="AE13" s="9"/>
      <c r="AF13" s="7"/>
      <c r="AG13" s="7"/>
      <c r="AH13" s="9"/>
      <c r="AI13" s="23"/>
      <c r="AJ13" s="23"/>
      <c r="AK13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9C15-3FAF-F04C-B507-AC0A4E663DF9}">
  <dimension ref="B2:AA11"/>
  <sheetViews>
    <sheetView topLeftCell="A14" zoomScale="150" workbookViewId="0">
      <selection activeCell="I7" sqref="I7"/>
    </sheetView>
  </sheetViews>
  <sheetFormatPr baseColWidth="10" defaultRowHeight="16"/>
  <cols>
    <col min="1" max="1" width="10.83203125" style="4"/>
    <col min="2" max="2" width="17.1640625" style="4" customWidth="1"/>
    <col min="3" max="3" width="11.83203125" style="4" customWidth="1"/>
    <col min="4" max="4" width="5.6640625" style="4" bestFit="1" customWidth="1"/>
    <col min="5" max="5" width="6.33203125" style="4" bestFit="1" customWidth="1"/>
    <col min="6" max="6" width="13.83203125" style="4" bestFit="1" customWidth="1"/>
    <col min="7" max="7" width="13.83203125" style="4" customWidth="1"/>
    <col min="8" max="11" width="10.83203125" style="4"/>
    <col min="12" max="12" width="15.1640625" style="4" customWidth="1"/>
    <col min="13" max="13" width="12.5" style="4" customWidth="1"/>
    <col min="14" max="14" width="9.5" style="4" customWidth="1"/>
    <col min="15" max="19" width="10.83203125" style="4"/>
    <col min="20" max="20" width="14.1640625" style="4" customWidth="1"/>
    <col min="21" max="21" width="10.83203125" style="49" customWidth="1"/>
    <col min="22" max="16384" width="10.83203125" style="4"/>
  </cols>
  <sheetData>
    <row r="2" spans="2:27" ht="17" thickBot="1"/>
    <row r="3" spans="2:27" ht="17" thickBot="1">
      <c r="H3" s="32" t="s">
        <v>11</v>
      </c>
    </row>
    <row r="4" spans="2:27">
      <c r="B4" s="30" t="s">
        <v>17</v>
      </c>
      <c r="C4" s="31"/>
      <c r="D4" s="31"/>
      <c r="E4" s="32" t="s">
        <v>25</v>
      </c>
      <c r="F4" s="32" t="s">
        <v>26</v>
      </c>
      <c r="G4" s="32" t="s">
        <v>27</v>
      </c>
      <c r="H4" s="32" t="s">
        <v>25</v>
      </c>
      <c r="I4" s="32" t="s">
        <v>26</v>
      </c>
      <c r="J4" s="33" t="s">
        <v>27</v>
      </c>
      <c r="L4" s="5" t="s">
        <v>15</v>
      </c>
      <c r="M4" s="1"/>
      <c r="N4" s="1"/>
      <c r="O4" s="2" t="s">
        <v>12</v>
      </c>
      <c r="P4" s="3" t="s">
        <v>9</v>
      </c>
      <c r="Q4" s="2" t="s">
        <v>11</v>
      </c>
      <c r="R4" s="3" t="s">
        <v>9</v>
      </c>
      <c r="T4" s="6" t="s">
        <v>14</v>
      </c>
      <c r="U4" s="50"/>
      <c r="V4" s="1"/>
      <c r="W4" s="2" t="s">
        <v>12</v>
      </c>
      <c r="X4" s="3" t="s">
        <v>26</v>
      </c>
      <c r="Y4" s="2" t="s">
        <v>11</v>
      </c>
      <c r="Z4" s="3" t="s">
        <v>26</v>
      </c>
      <c r="AA4" s="3" t="s">
        <v>13</v>
      </c>
    </row>
    <row r="5" spans="2:27" ht="20">
      <c r="B5" s="34" t="s">
        <v>0</v>
      </c>
      <c r="C5" s="8" t="s">
        <v>1</v>
      </c>
      <c r="D5" s="8" t="s">
        <v>70</v>
      </c>
      <c r="E5" s="77">
        <v>0.1</v>
      </c>
      <c r="F5" s="51">
        <v>0.38</v>
      </c>
      <c r="G5" s="9"/>
      <c r="H5" s="77">
        <v>0.70455000000000001</v>
      </c>
      <c r="I5" s="77">
        <v>1.1487036965205606</v>
      </c>
      <c r="J5" s="77">
        <v>0.70455000000000001</v>
      </c>
      <c r="L5" s="11" t="s">
        <v>0</v>
      </c>
      <c r="M5" s="8" t="s">
        <v>1</v>
      </c>
      <c r="N5" s="8" t="s">
        <v>44</v>
      </c>
      <c r="O5" s="77">
        <v>10.675000000000002</v>
      </c>
      <c r="P5" s="77">
        <v>1.8064653331852183</v>
      </c>
      <c r="Q5" s="77">
        <v>1.2444000000000002</v>
      </c>
      <c r="R5" s="77">
        <v>0</v>
      </c>
      <c r="T5" s="11" t="s">
        <v>0</v>
      </c>
      <c r="U5" s="8" t="s">
        <v>1</v>
      </c>
      <c r="V5" s="8" t="s">
        <v>44</v>
      </c>
      <c r="W5" s="77">
        <v>8.9670000000000023</v>
      </c>
      <c r="X5" s="77">
        <v>2.4053190308148298</v>
      </c>
      <c r="Y5" s="77">
        <v>1.0248000000000002</v>
      </c>
      <c r="Z5" s="77">
        <v>0.20704086553142112</v>
      </c>
      <c r="AA5" s="7"/>
    </row>
    <row r="6" spans="2:27" ht="21" customHeight="1">
      <c r="B6" s="34"/>
      <c r="D6" s="8" t="s">
        <v>71</v>
      </c>
      <c r="E6" s="77">
        <v>2.4675000000000002</v>
      </c>
      <c r="F6" s="51">
        <v>0.23</v>
      </c>
      <c r="G6" s="14"/>
      <c r="H6" s="77">
        <v>0.20968136029972445</v>
      </c>
      <c r="I6" s="77">
        <v>0.4066005779631896</v>
      </c>
      <c r="J6" s="77">
        <v>0.20968136029972445</v>
      </c>
      <c r="L6" s="11"/>
      <c r="N6" s="4" t="s">
        <v>53</v>
      </c>
      <c r="O6" s="77">
        <v>11.830950000000001</v>
      </c>
      <c r="P6" s="77">
        <v>3.230813907129285</v>
      </c>
      <c r="Q6" s="77">
        <v>3.6874500000000001</v>
      </c>
      <c r="R6" s="77">
        <v>1.2908420129899711</v>
      </c>
      <c r="T6" s="11"/>
      <c r="V6" s="13" t="s">
        <v>32</v>
      </c>
      <c r="W6" s="77">
        <v>1.464</v>
      </c>
      <c r="X6" s="77">
        <v>1.0613999999999999</v>
      </c>
      <c r="Y6" s="77">
        <v>0.42090000000000005</v>
      </c>
      <c r="Z6" s="77">
        <v>5.4900000000000101E-2</v>
      </c>
      <c r="AA6" s="12"/>
    </row>
    <row r="7" spans="2:27" ht="22" customHeight="1">
      <c r="B7" s="35"/>
      <c r="C7" s="8" t="s">
        <v>4</v>
      </c>
      <c r="D7" s="17" t="s">
        <v>70</v>
      </c>
      <c r="E7" s="77">
        <v>2.0789493832737453</v>
      </c>
      <c r="F7" s="52">
        <v>0.56999999999999995</v>
      </c>
      <c r="G7" s="18"/>
      <c r="H7" s="77">
        <v>1.7385000000000002</v>
      </c>
      <c r="J7" s="77">
        <v>1.7385000000000002</v>
      </c>
      <c r="L7" s="19"/>
      <c r="M7" s="13" t="s">
        <v>4</v>
      </c>
      <c r="N7" s="78" t="s">
        <v>31</v>
      </c>
      <c r="O7" s="77">
        <v>11.346</v>
      </c>
      <c r="P7" s="77">
        <v>0.90580378669996853</v>
      </c>
      <c r="Q7" s="77">
        <v>0.58560000000000001</v>
      </c>
      <c r="R7" s="77">
        <v>0.24597451087460259</v>
      </c>
      <c r="T7" s="19"/>
      <c r="U7" s="13" t="s">
        <v>4</v>
      </c>
      <c r="V7" s="4" t="s">
        <v>44</v>
      </c>
      <c r="W7" s="77">
        <v>5.0508000000000006</v>
      </c>
      <c r="X7" s="77">
        <v>0.35860529834345733</v>
      </c>
      <c r="Y7" s="77">
        <v>0.45140000000000002</v>
      </c>
      <c r="Z7" s="77">
        <v>0.2116620891893492</v>
      </c>
      <c r="AA7" s="10"/>
    </row>
    <row r="8" spans="2:27" ht="21" thickBot="1">
      <c r="B8" s="34"/>
      <c r="C8" s="7"/>
      <c r="D8" s="8" t="s">
        <v>71</v>
      </c>
      <c r="E8" s="77">
        <v>13.359</v>
      </c>
      <c r="F8" s="51">
        <v>0.19</v>
      </c>
      <c r="G8" s="9"/>
      <c r="H8" s="77">
        <v>4.1797200000000005</v>
      </c>
      <c r="I8" s="77">
        <v>0.30925556179315516</v>
      </c>
      <c r="J8" s="77">
        <v>4.1797200000000005</v>
      </c>
      <c r="L8" s="24"/>
      <c r="M8" s="21"/>
      <c r="N8" s="21" t="s">
        <v>53</v>
      </c>
      <c r="O8" s="77"/>
      <c r="Q8" s="77"/>
      <c r="R8" s="23">
        <v>0.12</v>
      </c>
      <c r="U8" s="21"/>
      <c r="V8" s="17" t="s">
        <v>72</v>
      </c>
      <c r="W8" s="77">
        <v>1.4274</v>
      </c>
      <c r="X8" s="77">
        <v>0.95159999999999978</v>
      </c>
      <c r="Y8" s="77">
        <v>0.4209</v>
      </c>
      <c r="Z8" s="77">
        <v>1.8299999999999983E-2</v>
      </c>
      <c r="AA8" s="20"/>
    </row>
    <row r="9" spans="2:27" ht="20" thickBot="1">
      <c r="O9" s="9"/>
      <c r="P9" s="7"/>
      <c r="Q9" s="9"/>
      <c r="R9" s="23"/>
      <c r="T9" s="11"/>
      <c r="U9" s="8"/>
      <c r="V9" s="8"/>
      <c r="W9" s="9"/>
      <c r="X9" s="7"/>
      <c r="Y9" s="9"/>
      <c r="Z9" s="23"/>
      <c r="AA9" s="7"/>
    </row>
    <row r="10" spans="2:27" ht="22" thickBot="1">
      <c r="B10" s="41" t="s">
        <v>24</v>
      </c>
      <c r="C10" s="36"/>
      <c r="D10" s="36"/>
      <c r="E10" s="36"/>
      <c r="F10" s="36"/>
      <c r="G10" s="36"/>
      <c r="H10" s="36"/>
      <c r="I10" s="36"/>
      <c r="J10" s="40">
        <f>SUM(I5:I8)</f>
        <v>1.8645598362769054</v>
      </c>
      <c r="L10" s="11"/>
      <c r="M10" s="8"/>
      <c r="N10" s="8"/>
      <c r="O10" s="9"/>
      <c r="P10" s="7"/>
      <c r="Q10" s="9"/>
      <c r="R10" s="29"/>
      <c r="T10" s="11"/>
      <c r="U10" s="8"/>
      <c r="V10" s="8"/>
      <c r="W10" s="9"/>
      <c r="X10" s="7"/>
      <c r="Y10" s="9"/>
      <c r="Z10" s="29"/>
      <c r="AA10" s="7"/>
    </row>
    <row r="11" spans="2:27" ht="20" thickBot="1">
      <c r="L11" s="11"/>
      <c r="M11" s="7"/>
      <c r="N11" s="7"/>
      <c r="O11" s="9"/>
      <c r="P11" s="7"/>
      <c r="Q11" s="9"/>
      <c r="R11" s="23"/>
      <c r="T11" s="11"/>
      <c r="U11" s="8"/>
      <c r="V11" s="7"/>
      <c r="W11" s="9"/>
      <c r="X11" s="7"/>
      <c r="Y11" s="9"/>
      <c r="Z11" s="23"/>
      <c r="AA1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tommaso.chiti</dc:creator>
  <cp:lastModifiedBy>ANA REY</cp:lastModifiedBy>
  <dcterms:created xsi:type="dcterms:W3CDTF">2024-03-08T21:04:34Z</dcterms:created>
  <dcterms:modified xsi:type="dcterms:W3CDTF">2024-03-26T16:13:16Z</dcterms:modified>
</cp:coreProperties>
</file>